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<sst xmlns="http://schemas.openxmlformats.org/spreadsheetml/2006/main" count="90" uniqueCount="53">
  <si>
    <t xml:space="preserve">UMR Reactor Facility Burnup Report</t>
  </si>
  <si>
    <t xml:space="preserve">Period (October 1, 1998-March 31, 1999)</t>
  </si>
  <si>
    <t xml:space="preserve">Core Configuration:</t>
  </si>
  <si>
    <t xml:space="preserve">101W</t>
  </si>
  <si>
    <t xml:space="preserve">Total Kw-hr:</t>
  </si>
  <si>
    <t xml:space="preserve">Total Console Time (hr):</t>
  </si>
  <si>
    <t xml:space="preserve">Time @ Power (hr):</t>
  </si>
  <si>
    <t xml:space="preserve">U-235 Burnup (gm):</t>
  </si>
  <si>
    <t xml:space="preserve">(4.355E-05 gm/Kw-hr)</t>
  </si>
  <si>
    <t xml:space="preserve">U-235 Burned &amp; Converted (gm):</t>
  </si>
  <si>
    <t xml:space="preserve">(5.155E-05 gm/Kw-hr)</t>
  </si>
  <si>
    <t xml:space="preserve">Physical Inventory (forms 742C) Check List:</t>
  </si>
  <si>
    <t xml:space="preserve">Fission Chambers:</t>
  </si>
  <si>
    <t xml:space="preserve">_______</t>
  </si>
  <si>
    <t xml:space="preserve">LEU  Fuel:</t>
  </si>
  <si>
    <t xml:space="preserve">______</t>
  </si>
  <si>
    <t xml:space="preserve">Plutonium:</t>
  </si>
  <si>
    <t xml:space="preserve">Physical Inventory Performed By: ________</t>
  </si>
  <si>
    <t xml:space="preserve">Input Data</t>
  </si>
  <si>
    <t xml:space="preserve">         Calculated</t>
  </si>
  <si>
    <t xml:space="preserve">Time</t>
  </si>
  <si>
    <t xml:space="preserve">Time of</t>
  </si>
  <si>
    <t xml:space="preserve">Date</t>
  </si>
  <si>
    <t xml:space="preserve">Checkout </t>
  </si>
  <si>
    <t xml:space="preserve">Shutdown</t>
  </si>
  <si>
    <t xml:space="preserve">Project</t>
  </si>
  <si>
    <t xml:space="preserve">Power</t>
  </si>
  <si>
    <t xml:space="preserve">Time </t>
  </si>
  <si>
    <t xml:space="preserve">PowChange/</t>
  </si>
  <si>
    <t xml:space="preserve">Kw-hr</t>
  </si>
  <si>
    <t xml:space="preserve">Console</t>
  </si>
  <si>
    <t xml:space="preserve">(Mo,Day,Yr)</t>
  </si>
  <si>
    <t xml:space="preserve">Started</t>
  </si>
  <si>
    <t xml:space="preserve">(+ 5 min)</t>
  </si>
  <si>
    <t xml:space="preserve">Number</t>
  </si>
  <si>
    <t xml:space="preserve">(KW)</t>
  </si>
  <si>
    <t xml:space="preserve">@Power</t>
  </si>
  <si>
    <t xml:space="preserve">Time (hrs)</t>
  </si>
  <si>
    <t xml:space="preserve">@Power(hrs)</t>
  </si>
  <si>
    <t xml:space="preserve">NE306</t>
  </si>
  <si>
    <t xml:space="preserve">NE304</t>
  </si>
  <si>
    <t xml:space="preserve">Schlr Tours</t>
  </si>
  <si>
    <t xml:space="preserve">Eng Mngt</t>
  </si>
  <si>
    <t xml:space="preserve">Math</t>
  </si>
  <si>
    <t xml:space="preserve">Physics</t>
  </si>
  <si>
    <t xml:space="preserve">Physics6</t>
  </si>
  <si>
    <t xml:space="preserve">Two &amp; 3</t>
  </si>
  <si>
    <t xml:space="preserve">Prof Exm</t>
  </si>
  <si>
    <t xml:space="preserve">NE25</t>
  </si>
  <si>
    <t xml:space="preserve">NE308</t>
  </si>
  <si>
    <t xml:space="preserve">Basic En</t>
  </si>
  <si>
    <t xml:space="preserve">UMC NE404</t>
  </si>
  <si>
    <t xml:space="preserve">ne306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</si>
</sst>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0"/>
    <numFmt numFmtId="167" formatCode="m/d/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0"/>
    </font>
    <font>
      <sz val="12"/>
      <color rgb="FF000000"/>
      <name val="Times New Roman"/>
      <family val="0"/>
    </font>
    <font>
      <sz val="12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3" min="2" style="0" width="10.81"/>
    <col collapsed="false" customWidth="true" hidden="false" outlineLevel="0" max="5" min="4" style="0" width="9.86"/>
    <col collapsed="false" customWidth="true" hidden="false" outlineLevel="0" max="6" min="6" style="0" width="14.6"/>
    <col collapsed="false" customWidth="true" hidden="false" outlineLevel="0" max="7" min="7" style="0" width="12.7"/>
    <col collapsed="false" customWidth="true" hidden="false" outlineLevel="0" max="9" min="8" style="0" width="10.81"/>
    <col collapsed="false" customWidth="true" hidden="false" outlineLevel="0" max="10" min="10" style="0" width="12.7"/>
    <col collapsed="false" customWidth="true" hidden="false" outlineLevel="0" max="12" min="11" style="0" width="9.86"/>
  </cols>
  <sheetData>
    <row r="1" customFormat="false" ht="13" hidden="false" customHeight="true" outlineLevel="0" collapsed="false">
      <c r="A1" s="1"/>
      <c r="B1" s="1"/>
      <c r="C1" s="2"/>
      <c r="D1" s="1"/>
      <c r="E1" s="1"/>
      <c r="F1" s="1"/>
      <c r="G1" s="1"/>
      <c r="H1" s="1"/>
      <c r="I1" s="1"/>
      <c r="J1" s="1"/>
      <c r="K1" s="3"/>
    </row>
    <row r="2" customFormat="false" ht="13" hidden="false" customHeight="true" outlineLevel="0" collapsed="false">
      <c r="A2" s="1"/>
      <c r="B2" s="1"/>
      <c r="C2" s="2"/>
      <c r="D2" s="1"/>
      <c r="E2" s="1"/>
      <c r="F2" s="1"/>
      <c r="G2" s="1"/>
      <c r="H2" s="1"/>
      <c r="I2" s="1"/>
      <c r="J2" s="1"/>
      <c r="K2" s="3"/>
    </row>
    <row r="3" customFormat="false" ht="15" hidden="false" customHeight="true" outlineLevel="0" collapsed="false">
      <c r="A3" s="4"/>
      <c r="B3" s="5"/>
      <c r="C3" s="5"/>
      <c r="D3" s="6"/>
      <c r="E3" s="6"/>
      <c r="F3" s="6"/>
      <c r="G3" s="6"/>
      <c r="H3" s="6"/>
      <c r="I3" s="6"/>
      <c r="J3" s="6"/>
    </row>
    <row r="4" customFormat="false" ht="15" hidden="false" customHeight="true" outlineLevel="0" collapsed="false">
      <c r="A4" s="4" t="s">
        <v>0</v>
      </c>
      <c r="B4" s="5"/>
      <c r="C4" s="5"/>
      <c r="D4" s="6"/>
      <c r="E4" s="6"/>
      <c r="F4" s="6"/>
      <c r="G4" s="6"/>
      <c r="H4" s="6"/>
      <c r="I4" s="6"/>
      <c r="J4" s="6"/>
    </row>
    <row r="5" customFormat="false" ht="15" hidden="false" customHeight="true" outlineLevel="0" collapsed="false">
      <c r="A5" s="4" t="s">
        <v>1</v>
      </c>
      <c r="B5" s="5"/>
      <c r="C5" s="5"/>
      <c r="D5" s="6"/>
      <c r="E5" s="6"/>
      <c r="F5" s="6"/>
      <c r="G5" s="6"/>
      <c r="H5" s="6"/>
      <c r="I5" s="6"/>
      <c r="J5" s="6"/>
    </row>
    <row r="6" customFormat="false" ht="15" hidden="false" customHeight="true" outlineLevel="0" collapsed="false">
      <c r="A6" s="4"/>
      <c r="B6" s="5"/>
      <c r="C6" s="5"/>
      <c r="D6" s="6"/>
      <c r="E6" s="6"/>
      <c r="F6" s="6"/>
      <c r="G6" s="6"/>
      <c r="H6" s="6"/>
      <c r="I6" s="6"/>
      <c r="J6" s="6"/>
    </row>
    <row r="7" customFormat="false" ht="15" hidden="false" customHeight="true" outlineLevel="0" collapsed="false">
      <c r="A7" s="4"/>
      <c r="B7" s="5"/>
      <c r="C7" s="5"/>
      <c r="D7" s="6"/>
      <c r="E7" s="6"/>
      <c r="F7" s="6"/>
      <c r="G7" s="6"/>
      <c r="H7" s="6"/>
      <c r="I7" s="6"/>
      <c r="J7" s="6"/>
    </row>
    <row r="8" customFormat="false" ht="15" hidden="false" customHeight="true" outlineLevel="0" collapsed="false">
      <c r="A8" s="4" t="s">
        <v>2</v>
      </c>
      <c r="B8" s="5"/>
      <c r="C8" s="5"/>
      <c r="D8" s="4" t="s">
        <v>3</v>
      </c>
      <c r="E8" s="6"/>
      <c r="F8" s="6"/>
      <c r="G8" s="6"/>
      <c r="H8" s="6"/>
      <c r="I8" s="6"/>
      <c r="J8" s="6"/>
    </row>
    <row r="9" customFormat="false" ht="15" hidden="false" customHeight="true" outlineLevel="0" collapsed="false">
      <c r="A9" s="4" t="s">
        <v>4</v>
      </c>
      <c r="B9" s="5"/>
      <c r="C9" s="5"/>
      <c r="D9" s="7" t="n">
        <f aca="false">SUM(H28:H280)</f>
        <v>7173.9033</v>
      </c>
      <c r="E9" s="6"/>
      <c r="F9" s="6"/>
      <c r="G9" s="6"/>
      <c r="H9" s="6"/>
      <c r="I9" s="6"/>
      <c r="J9" s="6"/>
    </row>
    <row r="10" customFormat="false" ht="15" hidden="false" customHeight="true" outlineLevel="0" collapsed="false">
      <c r="A10" s="4" t="s">
        <v>5</v>
      </c>
      <c r="B10" s="5"/>
      <c r="C10" s="5"/>
      <c r="D10" s="7" t="n">
        <f aca="false">SUM(I28:I280)</f>
        <v>204.55</v>
      </c>
      <c r="E10" s="6"/>
      <c r="F10" s="6"/>
      <c r="G10" s="6"/>
      <c r="H10" s="6"/>
      <c r="I10" s="6"/>
      <c r="J10" s="6"/>
    </row>
    <row r="11" customFormat="false" ht="15" hidden="false" customHeight="true" outlineLevel="0" collapsed="false">
      <c r="A11" s="4" t="s">
        <v>6</v>
      </c>
      <c r="B11" s="5"/>
      <c r="C11" s="5"/>
      <c r="D11" s="7" t="n">
        <f aca="false">SUM(J28:J280)</f>
        <v>101.06667</v>
      </c>
      <c r="E11" s="6"/>
      <c r="F11" s="6"/>
      <c r="G11" s="6"/>
      <c r="H11" s="6"/>
      <c r="I11" s="6"/>
      <c r="J11" s="6"/>
    </row>
    <row r="12" customFormat="false" ht="15" hidden="false" customHeight="true" outlineLevel="0" collapsed="false">
      <c r="A12" s="4"/>
      <c r="B12" s="5"/>
      <c r="C12" s="5"/>
      <c r="D12" s="4"/>
      <c r="E12" s="6"/>
      <c r="F12" s="6"/>
      <c r="G12" s="6"/>
      <c r="H12" s="6"/>
      <c r="I12" s="6"/>
      <c r="J12" s="6"/>
    </row>
    <row r="13" customFormat="false" ht="15" hidden="false" customHeight="true" outlineLevel="0" collapsed="false">
      <c r="A13" s="4" t="s">
        <v>7</v>
      </c>
      <c r="B13" s="5"/>
      <c r="C13" s="5"/>
      <c r="D13" s="8" t="n">
        <f aca="false">D9*0</f>
        <v>0.31242349</v>
      </c>
      <c r="E13" s="6"/>
      <c r="F13" s="6"/>
      <c r="G13" s="6"/>
      <c r="H13" s="6"/>
      <c r="I13" s="6"/>
      <c r="J13" s="6"/>
    </row>
    <row r="14" customFormat="false" ht="15" hidden="false" customHeight="true" outlineLevel="0" collapsed="false">
      <c r="A14" s="4" t="s">
        <v>8</v>
      </c>
      <c r="B14" s="5"/>
      <c r="C14" s="5"/>
      <c r="D14" s="4"/>
      <c r="E14" s="6"/>
      <c r="F14" s="6"/>
      <c r="G14" s="6"/>
      <c r="H14" s="6"/>
      <c r="I14" s="6"/>
      <c r="J14" s="6"/>
    </row>
    <row r="15" customFormat="false" ht="15" hidden="false" customHeight="true" outlineLevel="0" collapsed="false">
      <c r="A15" s="4"/>
      <c r="B15" s="5"/>
      <c r="C15" s="5"/>
      <c r="D15" s="4"/>
      <c r="E15" s="6"/>
      <c r="F15" s="6"/>
      <c r="G15" s="6"/>
      <c r="H15" s="6"/>
      <c r="I15" s="6"/>
      <c r="J15" s="6"/>
    </row>
    <row r="16" customFormat="false" ht="15" hidden="false" customHeight="true" outlineLevel="0" collapsed="false">
      <c r="A16" s="4" t="s">
        <v>9</v>
      </c>
      <c r="B16" s="5"/>
      <c r="C16" s="5"/>
      <c r="D16" s="8" t="n">
        <f aca="false">D9*0</f>
        <v>0.36981472</v>
      </c>
      <c r="E16" s="6"/>
      <c r="F16" s="6"/>
      <c r="G16" s="6"/>
      <c r="H16" s="6"/>
      <c r="I16" s="6"/>
      <c r="J16" s="6"/>
    </row>
    <row r="17" customFormat="false" ht="15" hidden="false" customHeight="true" outlineLevel="0" collapsed="false">
      <c r="A17" s="4" t="s">
        <v>10</v>
      </c>
      <c r="B17" s="5"/>
      <c r="C17" s="5"/>
      <c r="D17" s="6"/>
      <c r="E17" s="6"/>
      <c r="F17" s="6"/>
      <c r="G17" s="6"/>
      <c r="H17" s="6"/>
      <c r="I17" s="6"/>
      <c r="J17" s="6"/>
    </row>
    <row r="18" customFormat="false" ht="15" hidden="false" customHeight="true" outlineLevel="0" collapsed="false">
      <c r="A18" s="4"/>
      <c r="B18" s="5"/>
      <c r="C18" s="5"/>
      <c r="D18" s="6"/>
      <c r="E18" s="6"/>
      <c r="F18" s="6"/>
      <c r="G18" s="6"/>
      <c r="H18" s="6"/>
      <c r="I18" s="6"/>
      <c r="J18" s="6"/>
    </row>
    <row r="19" customFormat="false" ht="15" hidden="false" customHeight="true" outlineLevel="0" collapsed="false">
      <c r="A19" s="4" t="s">
        <v>11</v>
      </c>
      <c r="B19" s="5"/>
      <c r="C19" s="5"/>
      <c r="D19" s="6"/>
      <c r="E19" s="6"/>
      <c r="F19" s="5" t="s">
        <v>12</v>
      </c>
      <c r="G19" s="6"/>
      <c r="H19" s="6" t="s">
        <v>13</v>
      </c>
      <c r="I19" s="6"/>
      <c r="J19" s="6"/>
    </row>
    <row r="20" customFormat="false" ht="15" hidden="false" customHeight="true" outlineLevel="0" collapsed="false">
      <c r="A20" s="4"/>
      <c r="B20" s="5"/>
      <c r="C20" s="5"/>
      <c r="D20" s="6"/>
      <c r="E20" s="6"/>
      <c r="F20" s="5" t="s">
        <v>14</v>
      </c>
      <c r="G20" s="6"/>
      <c r="H20" s="6" t="s">
        <v>15</v>
      </c>
      <c r="I20" s="6"/>
      <c r="J20" s="6"/>
    </row>
    <row r="21" customFormat="false" ht="15" hidden="false" customHeight="true" outlineLevel="0" collapsed="false">
      <c r="A21" s="4"/>
      <c r="B21" s="5"/>
      <c r="C21" s="5"/>
      <c r="D21" s="6"/>
      <c r="E21" s="6"/>
      <c r="F21" s="5" t="s">
        <v>16</v>
      </c>
      <c r="G21" s="6"/>
      <c r="H21" s="6" t="s">
        <v>15</v>
      </c>
      <c r="I21" s="6"/>
      <c r="J21" s="6"/>
    </row>
    <row r="22" customFormat="false" ht="15" hidden="false" customHeight="true" outlineLevel="0" collapsed="false">
      <c r="A22" s="4" t="s">
        <v>17</v>
      </c>
      <c r="B22" s="5"/>
      <c r="C22" s="5"/>
      <c r="D22" s="6"/>
      <c r="E22" s="6"/>
      <c r="F22" s="5"/>
      <c r="G22" s="6"/>
      <c r="H22" s="6"/>
      <c r="I22" s="6"/>
      <c r="J22" s="6"/>
    </row>
    <row r="23" customFormat="false" ht="15" hidden="false" customHeight="true" outlineLevel="0" collapsed="false">
      <c r="A23" s="4"/>
      <c r="B23" s="5"/>
      <c r="C23" s="5"/>
      <c r="D23" s="6"/>
      <c r="E23" s="6"/>
      <c r="F23" s="5"/>
      <c r="G23" s="6"/>
      <c r="H23" s="6"/>
      <c r="I23" s="6"/>
      <c r="J23" s="6"/>
    </row>
    <row r="24" customFormat="false" ht="15" hidden="false" customHeight="true" outlineLevel="0" collapsed="false">
      <c r="A24" s="9"/>
      <c r="B24" s="10"/>
      <c r="C24" s="10"/>
      <c r="D24" s="11" t="s">
        <v>18</v>
      </c>
      <c r="E24" s="12"/>
      <c r="F24" s="10"/>
      <c r="G24" s="12"/>
      <c r="H24" s="13" t="s">
        <v>19</v>
      </c>
      <c r="I24" s="12"/>
      <c r="J24" s="12"/>
      <c r="K24" s="14"/>
    </row>
    <row r="25" customFormat="false" ht="15" hidden="false" customHeight="true" outlineLevel="0" collapsed="false">
      <c r="A25" s="9"/>
      <c r="B25" s="15" t="s">
        <v>20</v>
      </c>
      <c r="C25" s="15" t="s">
        <v>20</v>
      </c>
      <c r="D25" s="12"/>
      <c r="E25" s="12"/>
      <c r="F25" s="10"/>
      <c r="G25" s="11" t="s">
        <v>21</v>
      </c>
      <c r="H25" s="13"/>
      <c r="I25" s="12"/>
      <c r="J25" s="16"/>
      <c r="K25" s="14"/>
    </row>
    <row r="26" customFormat="false" ht="15" hidden="false" customHeight="true" outlineLevel="0" collapsed="false">
      <c r="A26" s="17" t="s">
        <v>22</v>
      </c>
      <c r="B26" s="18" t="s">
        <v>23</v>
      </c>
      <c r="C26" s="18" t="s">
        <v>24</v>
      </c>
      <c r="D26" s="4" t="s">
        <v>25</v>
      </c>
      <c r="E26" s="4" t="s">
        <v>26</v>
      </c>
      <c r="F26" s="18" t="s">
        <v>27</v>
      </c>
      <c r="G26" s="4" t="s">
        <v>28</v>
      </c>
      <c r="H26" s="17" t="s">
        <v>29</v>
      </c>
      <c r="I26" s="4" t="s">
        <v>30</v>
      </c>
      <c r="J26" s="19" t="s">
        <v>20</v>
      </c>
      <c r="K26" s="14"/>
    </row>
    <row r="27" customFormat="false" ht="15" hidden="false" customHeight="true" outlineLevel="0" collapsed="false">
      <c r="A27" s="20" t="s">
        <v>31</v>
      </c>
      <c r="B27" s="21" t="s">
        <v>32</v>
      </c>
      <c r="C27" s="21" t="s">
        <v>33</v>
      </c>
      <c r="D27" s="22" t="s">
        <v>34</v>
      </c>
      <c r="E27" s="22" t="s">
        <v>35</v>
      </c>
      <c r="F27" s="21" t="s">
        <v>36</v>
      </c>
      <c r="G27" s="22" t="s">
        <v>24</v>
      </c>
      <c r="H27" s="20"/>
      <c r="I27" s="22" t="s">
        <v>37</v>
      </c>
      <c r="J27" s="23" t="s">
        <v>38</v>
      </c>
      <c r="K27" s="14"/>
    </row>
    <row r="28" customFormat="false" ht="15" hidden="false" customHeight="true" outlineLevel="0" collapsed="false">
      <c r="A28" s="24" t="n">
        <v>36069</v>
      </c>
      <c r="B28" s="18" t="n">
        <f aca="false">TIME(12,41,0)</f>
        <v>0.528472222222222</v>
      </c>
      <c r="C28" s="18" t="n">
        <f aca="false">TIME(15,52,0)</f>
        <v>0.661111111111111</v>
      </c>
      <c r="D28" s="4" t="s">
        <v>39</v>
      </c>
      <c r="E28" s="4" t="n">
        <v>0.01</v>
      </c>
      <c r="F28" s="18" t="n">
        <f aca="false">TIME(14,28,0)</f>
        <v>0.602777777777778</v>
      </c>
      <c r="G28" s="18" t="n">
        <f aca="false">TIME(14,37,0)</f>
        <v>0.609027777777778</v>
      </c>
      <c r="H28" s="7" t="n">
        <f aca="false">E28*(G28-F28)*24</f>
        <v>0.0015</v>
      </c>
      <c r="I28" s="7" t="n">
        <f aca="false">(C28-B28)*24</f>
        <v>3.1833333</v>
      </c>
      <c r="J28" s="7" t="n">
        <f aca="false">(G28-F28)*24</f>
        <v>0.15</v>
      </c>
    </row>
    <row r="29" customFormat="false" ht="15" hidden="false" customHeight="true" outlineLevel="0" collapsed="false">
      <c r="A29" s="4"/>
      <c r="B29" s="18"/>
      <c r="C29" s="18"/>
      <c r="D29" s="4"/>
      <c r="E29" s="4" t="n">
        <v>0.1</v>
      </c>
      <c r="F29" s="18" t="n">
        <f aca="false">TIME(14,48,0)</f>
        <v>0.616666666666667</v>
      </c>
      <c r="G29" s="18" t="n">
        <f aca="false">TIME(14,59,0)</f>
        <v>0.624305555555556</v>
      </c>
      <c r="H29" s="7" t="n">
        <f aca="false">E29*(G29-F29)*24</f>
        <v>0.018333333</v>
      </c>
      <c r="I29" s="7" t="n">
        <f aca="false">(C29-B29)*24</f>
        <v>0</v>
      </c>
      <c r="J29" s="7" t="n">
        <f aca="false">(G29-F29)*24</f>
        <v>0.18333333</v>
      </c>
    </row>
    <row r="30" customFormat="false" ht="15" hidden="false" customHeight="true" outlineLevel="0" collapsed="false">
      <c r="A30" s="24"/>
      <c r="B30" s="18"/>
      <c r="C30" s="18"/>
      <c r="D30" s="4"/>
      <c r="E30" s="4" t="n">
        <v>1</v>
      </c>
      <c r="F30" s="18" t="n">
        <f aca="false">TIME(15,8,0)</f>
        <v>0.630555555555556</v>
      </c>
      <c r="G30" s="18" t="n">
        <f aca="false">TIME(15,13,0)</f>
        <v>0.634027777777778</v>
      </c>
      <c r="H30" s="7" t="n">
        <f aca="false">E30*(G30-F30)*24</f>
        <v>0.083333333</v>
      </c>
      <c r="I30" s="7" t="n">
        <f aca="false">(C30-B30)*24</f>
        <v>0</v>
      </c>
      <c r="J30" s="7" t="n">
        <f aca="false">(G30-F30)*24</f>
        <v>0.083333333</v>
      </c>
    </row>
    <row r="31" customFormat="false" ht="15" hidden="false" customHeight="true" outlineLevel="0" collapsed="false">
      <c r="A31" s="24"/>
      <c r="B31" s="18"/>
      <c r="C31" s="18"/>
      <c r="D31" s="4"/>
      <c r="E31" s="4" t="n">
        <v>0.1</v>
      </c>
      <c r="F31" s="18" t="n">
        <f aca="false">TIME(15,24,0)</f>
        <v>0.641666666666667</v>
      </c>
      <c r="G31" s="18" t="n">
        <f aca="false">TIME(15,32,0)</f>
        <v>0.647222222222222</v>
      </c>
      <c r="H31" s="7" t="n">
        <f aca="false">E31*(G31-F31)*24</f>
        <v>0.013333333</v>
      </c>
      <c r="I31" s="7" t="n">
        <f aca="false">(C31-B31)*24</f>
        <v>0</v>
      </c>
      <c r="J31" s="7" t="n">
        <f aca="false">(G31-F31)*24</f>
        <v>0.13333333</v>
      </c>
    </row>
    <row r="32" customFormat="false" ht="15" hidden="false" customHeight="true" outlineLevel="0" collapsed="false">
      <c r="A32" s="24"/>
      <c r="B32" s="18"/>
      <c r="C32" s="18"/>
      <c r="D32" s="4"/>
      <c r="E32" s="4" t="n">
        <v>0.01</v>
      </c>
      <c r="F32" s="18" t="n">
        <f aca="false">TIME(15,40,0)</f>
        <v>0.652777777777778</v>
      </c>
      <c r="G32" s="18" t="n">
        <f aca="false">TIME(15,47,0)</f>
        <v>0.657638888888889</v>
      </c>
      <c r="H32" s="7" t="n">
        <f aca="false">E32*(G32-F32)*24</f>
        <v>0.0011666667</v>
      </c>
      <c r="I32" s="7" t="n">
        <f aca="false">(C32-B32)*24</f>
        <v>0</v>
      </c>
      <c r="J32" s="7" t="n">
        <f aca="false">(G32-F32)*24</f>
        <v>0.11666667</v>
      </c>
    </row>
    <row r="33" customFormat="false" ht="15" hidden="false" customHeight="true" outlineLevel="0" collapsed="false">
      <c r="A33" s="24" t="n">
        <v>36075</v>
      </c>
      <c r="B33" s="18" t="n">
        <f aca="false">TIME(13,12,0)</f>
        <v>0.55</v>
      </c>
      <c r="C33" s="18" t="n">
        <f aca="false">TIME(16,16,0)</f>
        <v>0.677777777777778</v>
      </c>
      <c r="D33" s="4" t="s">
        <v>40</v>
      </c>
      <c r="E33" s="4" t="n">
        <v>0.01</v>
      </c>
      <c r="F33" s="18" t="n">
        <f aca="false">TIME(13,42,0)</f>
        <v>0.570833333333333</v>
      </c>
      <c r="G33" s="18" t="n">
        <f aca="false">TIME(13,44,0)</f>
        <v>0.572222222222222</v>
      </c>
      <c r="H33" s="7" t="n">
        <f aca="false">E33*(G33-F33)*24</f>
        <v>0.00033333333</v>
      </c>
      <c r="I33" s="7" t="n">
        <f aca="false">(C33-B33)*24</f>
        <v>3.0666667</v>
      </c>
      <c r="J33" s="7" t="n">
        <f aca="false">(G33-F33)*24</f>
        <v>0.033333333</v>
      </c>
    </row>
    <row r="34" customFormat="false" ht="15" hidden="false" customHeight="true" outlineLevel="0" collapsed="false">
      <c r="A34" s="4"/>
      <c r="B34" s="18"/>
      <c r="C34" s="18"/>
      <c r="D34" s="4"/>
      <c r="E34" s="4" t="n">
        <v>10</v>
      </c>
      <c r="F34" s="18" t="n">
        <f aca="false">TIME(13,52,0)</f>
        <v>0.577777777777778</v>
      </c>
      <c r="G34" s="18" t="n">
        <f aca="false">TIME(14,23,0)</f>
        <v>0.599305555555556</v>
      </c>
      <c r="H34" s="7" t="n">
        <f aca="false">E34*(G34-F34)*24</f>
        <v>5.1666667</v>
      </c>
      <c r="I34" s="7" t="n">
        <f aca="false">(C34-B34)*24</f>
        <v>0</v>
      </c>
      <c r="J34" s="7" t="n">
        <f aca="false">(G34-F34)*24</f>
        <v>0.51666667</v>
      </c>
    </row>
    <row r="35" customFormat="false" ht="15" hidden="false" customHeight="true" outlineLevel="0" collapsed="false">
      <c r="A35" s="24"/>
      <c r="B35" s="18"/>
      <c r="C35" s="18"/>
      <c r="D35" s="4"/>
      <c r="E35" s="4" t="n">
        <v>50</v>
      </c>
      <c r="F35" s="18" t="n">
        <f aca="false">TIME(14,26,0)</f>
        <v>0.601388888888889</v>
      </c>
      <c r="G35" s="18" t="n">
        <f aca="false">TIME(16,10,0)</f>
        <v>0.673611111111111</v>
      </c>
      <c r="H35" s="7" t="n">
        <f aca="false">E35*(G35-F35)*24</f>
        <v>86.666667</v>
      </c>
      <c r="I35" s="7" t="n">
        <f aca="false">(C35-B35)*24</f>
        <v>0</v>
      </c>
      <c r="J35" s="7" t="n">
        <f aca="false">(G35-F35)*24</f>
        <v>1.7333333</v>
      </c>
    </row>
    <row r="36" customFormat="false" ht="15" hidden="false" customHeight="true" outlineLevel="0" collapsed="false">
      <c r="A36" s="24" t="n">
        <v>36076</v>
      </c>
      <c r="B36" s="18" t="n">
        <f aca="false">TIME(9,18,0)</f>
        <v>0.3875</v>
      </c>
      <c r="C36" s="18" t="n">
        <f aca="false">TIME(11,42,0)</f>
        <v>0.4875</v>
      </c>
      <c r="D36" s="4" t="n">
        <v>5</v>
      </c>
      <c r="E36" s="4" t="n">
        <v>0.01</v>
      </c>
      <c r="F36" s="18" t="n">
        <f aca="false">TIME(10,13,0)</f>
        <v>0.425694444444444</v>
      </c>
      <c r="G36" s="18" t="n">
        <f aca="false">TIME(10,14,0)</f>
        <v>0.426388888888889</v>
      </c>
      <c r="H36" s="7" t="n">
        <f aca="false">E36*(G36-F36)*24</f>
        <v>0.00016666667</v>
      </c>
      <c r="I36" s="7" t="n">
        <f aca="false">(C36-B36)*24</f>
        <v>2.4</v>
      </c>
      <c r="J36" s="7" t="n">
        <f aca="false">(G36-F36)*24</f>
        <v>0.016666667</v>
      </c>
    </row>
    <row r="37" customFormat="false" ht="15" hidden="false" customHeight="true" outlineLevel="0" collapsed="false">
      <c r="A37" s="4"/>
      <c r="B37" s="18"/>
      <c r="C37" s="18"/>
      <c r="D37" s="4"/>
      <c r="E37" s="4" t="n">
        <v>0.1</v>
      </c>
      <c r="F37" s="18" t="n">
        <f aca="false">TIME(10,23,0)</f>
        <v>0.432638888888889</v>
      </c>
      <c r="G37" s="18" t="n">
        <f aca="false">TIME(10,42,0)</f>
        <v>0.445833333333333</v>
      </c>
      <c r="H37" s="7" t="n">
        <f aca="false">E37*(G37-F37)*24</f>
        <v>0.031666667</v>
      </c>
      <c r="I37" s="7" t="n">
        <f aca="false">(C37-B37)*24</f>
        <v>0</v>
      </c>
      <c r="J37" s="7" t="n">
        <f aca="false">(G37-F37)*24</f>
        <v>0.31666667</v>
      </c>
    </row>
    <row r="38" customFormat="false" ht="15" hidden="false" customHeight="true" outlineLevel="0" collapsed="false">
      <c r="A38" s="4"/>
      <c r="B38" s="18"/>
      <c r="C38" s="18"/>
      <c r="D38" s="4"/>
      <c r="E38" s="4" t="n">
        <v>100</v>
      </c>
      <c r="F38" s="18" t="n">
        <f aca="false">TIME(11,2,0)</f>
        <v>0.459722222222222</v>
      </c>
      <c r="G38" s="18" t="n">
        <f aca="false">TIME(11,17,0)</f>
        <v>0.470138888888889</v>
      </c>
      <c r="H38" s="7" t="n">
        <f aca="false">E38*(G38-F38)*24</f>
        <v>25</v>
      </c>
      <c r="I38" s="7" t="n">
        <f aca="false">(C38-B38)*24</f>
        <v>0</v>
      </c>
      <c r="J38" s="7" t="n">
        <f aca="false">(G38-F38)*24</f>
        <v>0.25</v>
      </c>
    </row>
    <row r="39" customFormat="false" ht="15" hidden="false" customHeight="true" outlineLevel="0" collapsed="false">
      <c r="A39" s="24"/>
      <c r="B39" s="18"/>
      <c r="C39" s="18"/>
      <c r="D39" s="4"/>
      <c r="E39" s="4" t="n">
        <v>0.1</v>
      </c>
      <c r="F39" s="18" t="n">
        <f aca="false">TIME(11,27,0)</f>
        <v>0.477083333333333</v>
      </c>
      <c r="G39" s="18" t="n">
        <f aca="false">TIME(11,37,0)</f>
        <v>0.484027777777778</v>
      </c>
      <c r="H39" s="7" t="n">
        <f aca="false">E39*(G39-F39)*24</f>
        <v>0.016666667</v>
      </c>
      <c r="I39" s="7" t="n">
        <f aca="false">(C39-B39)*24</f>
        <v>0</v>
      </c>
      <c r="J39" s="7" t="n">
        <f aca="false">(G39-F39)*24</f>
        <v>0.16666667</v>
      </c>
    </row>
    <row r="40" customFormat="false" ht="15" hidden="false" customHeight="true" outlineLevel="0" collapsed="false">
      <c r="A40" s="24" t="n">
        <v>36076</v>
      </c>
      <c r="B40" s="18" t="n">
        <f aca="false">TIME(12,33,0)</f>
        <v>0.522916666666667</v>
      </c>
      <c r="C40" s="18" t="n">
        <f aca="false">TIME(15,43,0)</f>
        <v>0.654861111111111</v>
      </c>
      <c r="D40" s="4" t="s">
        <v>39</v>
      </c>
      <c r="E40" s="4" t="n">
        <v>0.01</v>
      </c>
      <c r="F40" s="18" t="n">
        <f aca="false">TIME(13,32,0)</f>
        <v>0.563888888888889</v>
      </c>
      <c r="G40" s="18" t="n">
        <f aca="false">TIME(13,40,0)</f>
        <v>0.569444444444444</v>
      </c>
      <c r="H40" s="7" t="n">
        <f aca="false">E40*(G40-F40)*24</f>
        <v>0.0013333333</v>
      </c>
      <c r="I40" s="7" t="n">
        <f aca="false">(C40-B40)*24</f>
        <v>3.1666667</v>
      </c>
      <c r="J40" s="7" t="n">
        <f aca="false">(G40-F40)*24</f>
        <v>0.13333333</v>
      </c>
    </row>
    <row r="41" customFormat="false" ht="15" hidden="false" customHeight="true" outlineLevel="0" collapsed="false">
      <c r="A41" s="24"/>
      <c r="B41" s="18"/>
      <c r="C41" s="18"/>
      <c r="D41" s="4"/>
      <c r="E41" s="4" t="n">
        <v>0.1</v>
      </c>
      <c r="F41" s="18" t="n">
        <f aca="false">TIME(13,48,0)</f>
        <v>0.575</v>
      </c>
      <c r="G41" s="18" t="n">
        <f aca="false">TIME(14,1,0)</f>
        <v>0.584027777777778</v>
      </c>
      <c r="H41" s="7" t="n">
        <f aca="false">E41*(G41-F41)*24</f>
        <v>0.021666667</v>
      </c>
      <c r="I41" s="7" t="n">
        <f aca="false">(C41-B41)*24</f>
        <v>0</v>
      </c>
      <c r="J41" s="7" t="n">
        <f aca="false">(G41-F41)*24</f>
        <v>0.21666667</v>
      </c>
    </row>
    <row r="42" customFormat="false" ht="15" hidden="false" customHeight="true" outlineLevel="0" collapsed="false">
      <c r="A42" s="4"/>
      <c r="B42" s="18"/>
      <c r="C42" s="18"/>
      <c r="D42" s="4"/>
      <c r="E42" s="4" t="n">
        <v>1</v>
      </c>
      <c r="F42" s="18" t="n">
        <f aca="false">TIME(14,8,0)</f>
        <v>0.588888888888889</v>
      </c>
      <c r="G42" s="18" t="n">
        <f aca="false">TIME(14,15,0)</f>
        <v>0.59375</v>
      </c>
      <c r="H42" s="7" t="n">
        <f aca="false">E42*(G42-F42)*24</f>
        <v>0.11666667</v>
      </c>
      <c r="I42" s="7" t="n">
        <f aca="false">(C42-B42)*24</f>
        <v>0</v>
      </c>
      <c r="J42" s="7" t="n">
        <f aca="false">(G42-F42)*24</f>
        <v>0.11666667</v>
      </c>
    </row>
    <row r="43" customFormat="false" ht="15" hidden="false" customHeight="true" outlineLevel="0" collapsed="false">
      <c r="A43" s="24"/>
      <c r="B43" s="18"/>
      <c r="C43" s="18"/>
      <c r="D43" s="4"/>
      <c r="E43" s="4" t="n">
        <v>0</v>
      </c>
      <c r="F43" s="18" t="n">
        <f aca="false">TIME(14,15,0)</f>
        <v>0.59375</v>
      </c>
      <c r="G43" s="18" t="n">
        <f aca="false">TIME(14,41,0)</f>
        <v>0.611805555555556</v>
      </c>
      <c r="H43" s="7" t="n">
        <f aca="false">E43*(G43-F43)*24</f>
        <v>0</v>
      </c>
      <c r="I43" s="7" t="n">
        <f aca="false">(C43-B43)*24</f>
        <v>0</v>
      </c>
      <c r="J43" s="7" t="n">
        <f aca="false">(G43-F43)*24</f>
        <v>0.43333333</v>
      </c>
    </row>
    <row r="44" customFormat="false" ht="15" hidden="false" customHeight="true" outlineLevel="0" collapsed="false">
      <c r="A44" s="24"/>
      <c r="B44" s="18"/>
      <c r="C44" s="18"/>
      <c r="D44" s="4"/>
      <c r="E44" s="4" t="n">
        <v>0.01</v>
      </c>
      <c r="F44" s="18" t="n">
        <f aca="false">TIME(15,3,0)</f>
        <v>0.627083333333333</v>
      </c>
      <c r="G44" s="18" t="n">
        <f aca="false">TIME(15,10,0)</f>
        <v>0.631944444444444</v>
      </c>
      <c r="H44" s="7" t="n">
        <f aca="false">E44*(G44-F44)*24</f>
        <v>0.0011666667</v>
      </c>
      <c r="I44" s="7" t="n">
        <f aca="false">(C44-B44)*24</f>
        <v>0</v>
      </c>
      <c r="J44" s="7" t="n">
        <f aca="false">(G44-F44)*24</f>
        <v>0.11666667</v>
      </c>
    </row>
    <row r="45" customFormat="false" ht="15" hidden="false" customHeight="true" outlineLevel="0" collapsed="false">
      <c r="A45" s="4"/>
      <c r="B45" s="18"/>
      <c r="C45" s="18"/>
      <c r="D45" s="4"/>
      <c r="E45" s="4" t="n">
        <v>0.1</v>
      </c>
      <c r="F45" s="18" t="n">
        <f aca="false">TIME(15,19,0)</f>
        <v>0.638194444444444</v>
      </c>
      <c r="G45" s="18" t="n">
        <f aca="false">TIME(15,27,0)</f>
        <v>0.64375</v>
      </c>
      <c r="H45" s="7" t="n">
        <f aca="false">E45*(G45-F45)*24</f>
        <v>0.013333333</v>
      </c>
      <c r="I45" s="7" t="n">
        <f aca="false">(C45-B45)*24</f>
        <v>0</v>
      </c>
      <c r="J45" s="7" t="n">
        <f aca="false">(G45-F45)*24</f>
        <v>0.13333333</v>
      </c>
    </row>
    <row r="46" customFormat="false" ht="15" hidden="false" customHeight="true" outlineLevel="0" collapsed="false">
      <c r="A46" s="24"/>
      <c r="B46" s="18"/>
      <c r="C46" s="18"/>
      <c r="D46" s="4"/>
      <c r="E46" s="4" t="n">
        <v>0.01</v>
      </c>
      <c r="F46" s="18" t="n">
        <f aca="false">TIME(15,34,0)</f>
        <v>0.648611111111111</v>
      </c>
      <c r="G46" s="18" t="n">
        <f aca="false">TIME(15,38,0)</f>
        <v>0.651388888888889</v>
      </c>
      <c r="H46" s="7" t="n">
        <f aca="false">E46*(G46-F46)*24</f>
        <v>0.00066666667</v>
      </c>
      <c r="I46" s="7" t="n">
        <f aca="false">(C46-B46)*24</f>
        <v>0</v>
      </c>
      <c r="J46" s="7" t="n">
        <f aca="false">(G46-F46)*24</f>
        <v>0.066666667</v>
      </c>
    </row>
    <row r="47" customFormat="false" ht="15" hidden="false" customHeight="true" outlineLevel="0" collapsed="false">
      <c r="A47" s="24" t="n">
        <v>36083</v>
      </c>
      <c r="B47" s="18" t="n">
        <f aca="false">TIME(8,38,0)</f>
        <v>0.359722222222222</v>
      </c>
      <c r="C47" s="18" t="n">
        <f aca="false">TIME(11,5,0)</f>
        <v>0.461805555555556</v>
      </c>
      <c r="D47" s="4" t="n">
        <v>5</v>
      </c>
      <c r="E47" s="4" t="n">
        <v>0.01</v>
      </c>
      <c r="F47" s="18" t="n">
        <f aca="false">TIME(9,20,0)</f>
        <v>0.388888888888889</v>
      </c>
      <c r="G47" s="18" t="n">
        <f aca="false">TIME(9,23,0)</f>
        <v>0.390972222222222</v>
      </c>
      <c r="H47" s="7" t="n">
        <f aca="false">E47*(G47-F47)*24</f>
        <v>0.0005</v>
      </c>
      <c r="I47" s="7" t="n">
        <f aca="false">(C47-B47)*24</f>
        <v>2.45</v>
      </c>
      <c r="J47" s="7" t="n">
        <f aca="false">(G47-F47)*24</f>
        <v>0.05</v>
      </c>
    </row>
    <row r="48" customFormat="false" ht="15" hidden="false" customHeight="true" outlineLevel="0" collapsed="false">
      <c r="A48" s="24"/>
      <c r="B48" s="18"/>
      <c r="C48" s="18"/>
      <c r="D48" s="4"/>
      <c r="E48" s="4" t="n">
        <v>0.1</v>
      </c>
      <c r="F48" s="18" t="n">
        <f aca="false">TIME(9,27,0)</f>
        <v>0.39375</v>
      </c>
      <c r="G48" s="18" t="n">
        <f aca="false">TIME(10,10,0)</f>
        <v>0.423611111111111</v>
      </c>
      <c r="H48" s="7" t="n">
        <f aca="false">E48*(G48-F48)*24</f>
        <v>0.071666667</v>
      </c>
      <c r="I48" s="7" t="n">
        <f aca="false">(C48-B48)*24</f>
        <v>0</v>
      </c>
      <c r="J48" s="7" t="n">
        <f aca="false">(G48-F48)*24</f>
        <v>0.71666667</v>
      </c>
    </row>
    <row r="49" customFormat="false" ht="15" hidden="false" customHeight="true" outlineLevel="0" collapsed="false">
      <c r="A49" s="4"/>
      <c r="B49" s="18"/>
      <c r="C49" s="18"/>
      <c r="D49" s="4"/>
      <c r="E49" s="4" t="n">
        <v>100</v>
      </c>
      <c r="F49" s="18" t="n">
        <f aca="false">TIME(10,20,0)</f>
        <v>0.430555555555556</v>
      </c>
      <c r="G49" s="18" t="n">
        <f aca="false">TIME(10,44,0)</f>
        <v>0.447222222222222</v>
      </c>
      <c r="H49" s="7" t="n">
        <f aca="false">E49*(G49-F49)*24</f>
        <v>40</v>
      </c>
      <c r="I49" s="7" t="n">
        <f aca="false">(C49-B49)*24</f>
        <v>0</v>
      </c>
      <c r="J49" s="7" t="n">
        <f aca="false">(G49-F49)*24</f>
        <v>0.4</v>
      </c>
    </row>
    <row r="50" customFormat="false" ht="15" hidden="false" customHeight="true" outlineLevel="0" collapsed="false">
      <c r="A50" s="24"/>
      <c r="B50" s="18"/>
      <c r="C50" s="18"/>
      <c r="D50" s="4"/>
      <c r="E50" s="4" t="n">
        <v>0.1</v>
      </c>
      <c r="F50" s="18" t="n">
        <f aca="false">TIME(10,53,0)</f>
        <v>0.453472222222222</v>
      </c>
      <c r="G50" s="18" t="n">
        <f aca="false">TIME(11,0,0)</f>
        <v>0.458333333333333</v>
      </c>
      <c r="H50" s="7" t="n">
        <f aca="false">E50*(G50-F50)*24</f>
        <v>0.011666667</v>
      </c>
      <c r="I50" s="7" t="n">
        <f aca="false">(C50-B50)*24</f>
        <v>0</v>
      </c>
      <c r="J50" s="7" t="n">
        <f aca="false">(G50-F50)*24</f>
        <v>0.11666667</v>
      </c>
    </row>
    <row r="51" customFormat="false" ht="15" hidden="false" customHeight="true" outlineLevel="0" collapsed="false">
      <c r="A51" s="24" t="n">
        <v>36083</v>
      </c>
      <c r="B51" s="18" t="n">
        <f aca="false">TIME(12,36,0)</f>
        <v>0.525</v>
      </c>
      <c r="C51" s="18" t="n">
        <f aca="false">TIME(15,42,0)</f>
        <v>0.654166666666667</v>
      </c>
      <c r="D51" s="4" t="s">
        <v>39</v>
      </c>
      <c r="E51" s="4" t="n">
        <v>0.01</v>
      </c>
      <c r="F51" s="18" t="n">
        <f aca="false">TIME(13,43,0)</f>
        <v>0.571527777777778</v>
      </c>
      <c r="G51" s="18" t="n">
        <f aca="false">TIME(13,50,0)</f>
        <v>0.576388888888889</v>
      </c>
      <c r="H51" s="7" t="n">
        <f aca="false">E51*(G51-F51)*24</f>
        <v>0.0011666667</v>
      </c>
      <c r="I51" s="7" t="n">
        <f aca="false">(C51-B51)*24</f>
        <v>3.1</v>
      </c>
      <c r="J51" s="7" t="n">
        <f aca="false">(G51-F51)*24</f>
        <v>0.11666667</v>
      </c>
    </row>
    <row r="52" customFormat="false" ht="15" hidden="false" customHeight="true" outlineLevel="0" collapsed="false">
      <c r="A52" s="4"/>
      <c r="B52" s="18"/>
      <c r="C52" s="18"/>
      <c r="D52" s="4"/>
      <c r="E52" s="4" t="n">
        <v>0.1</v>
      </c>
      <c r="F52" s="18" t="n">
        <f aca="false">TIME(13,57,0)</f>
        <v>0.58125</v>
      </c>
      <c r="G52" s="18" t="n">
        <f aca="false">TIME(14,1,0)</f>
        <v>0.584027777777778</v>
      </c>
      <c r="H52" s="7" t="n">
        <f aca="false">E52*(G52-F52)*24</f>
        <v>0.0066666667</v>
      </c>
      <c r="I52" s="7" t="n">
        <f aca="false">(C52-B52)*24</f>
        <v>0</v>
      </c>
      <c r="J52" s="7" t="n">
        <f aca="false">(G52-F52)*24</f>
        <v>0.066666667</v>
      </c>
    </row>
    <row r="53" customFormat="false" ht="15" hidden="false" customHeight="true" outlineLevel="0" collapsed="false">
      <c r="A53" s="24"/>
      <c r="B53" s="18"/>
      <c r="C53" s="18"/>
      <c r="D53" s="4"/>
      <c r="E53" s="4" t="n">
        <v>0.01</v>
      </c>
      <c r="F53" s="18" t="n">
        <f aca="false">TIME(14,9,0)</f>
        <v>0.589583333333333</v>
      </c>
      <c r="G53" s="18" t="n">
        <f aca="false">TIME(14,12,0)</f>
        <v>0.591666666666667</v>
      </c>
      <c r="H53" s="7" t="n">
        <f aca="false">E53*(G53-F53)*24</f>
        <v>0.0005</v>
      </c>
      <c r="I53" s="7" t="n">
        <f aca="false">(C53-B53)*24</f>
        <v>0</v>
      </c>
      <c r="J53" s="7" t="n">
        <f aca="false">(G53-F53)*24</f>
        <v>0.05</v>
      </c>
    </row>
    <row r="54" customFormat="false" ht="15" hidden="false" customHeight="true" outlineLevel="0" collapsed="false">
      <c r="A54" s="4"/>
      <c r="B54" s="18"/>
      <c r="C54" s="18"/>
      <c r="D54" s="4"/>
      <c r="E54" s="4" t="n">
        <v>0</v>
      </c>
      <c r="F54" s="18" t="n">
        <f aca="false">TIME(14,12,0)</f>
        <v>0.591666666666667</v>
      </c>
      <c r="G54" s="18" t="n">
        <f aca="false">TIME(15,3,0)</f>
        <v>0.627083333333333</v>
      </c>
      <c r="H54" s="7" t="n">
        <f aca="false">E54*(G54-F54)*24</f>
        <v>0</v>
      </c>
      <c r="I54" s="7" t="n">
        <f aca="false">(C54-B54)*24</f>
        <v>0</v>
      </c>
      <c r="J54" s="7" t="n">
        <f aca="false">(G54-F54)*24</f>
        <v>0.85</v>
      </c>
    </row>
    <row r="55" customFormat="false" ht="15" hidden="false" customHeight="true" outlineLevel="0" collapsed="false">
      <c r="A55" s="24"/>
      <c r="B55" s="18"/>
      <c r="C55" s="18"/>
      <c r="D55" s="4"/>
      <c r="E55" s="4" t="n">
        <v>0.01</v>
      </c>
      <c r="F55" s="18" t="n">
        <f aca="false">TIME(15,3,0)</f>
        <v>0.627083333333333</v>
      </c>
      <c r="G55" s="18" t="n">
        <f aca="false">TIME(15,8,0)</f>
        <v>0.630555555555556</v>
      </c>
      <c r="H55" s="7" t="n">
        <f aca="false">E55*(G55-F55)*24</f>
        <v>0.00083333333</v>
      </c>
      <c r="I55" s="7" t="n">
        <f aca="false">(C55-B55)*24</f>
        <v>0</v>
      </c>
      <c r="J55" s="7" t="n">
        <f aca="false">(G55-F55)*24</f>
        <v>0.083333333</v>
      </c>
    </row>
    <row r="56" customFormat="false" ht="15" hidden="false" customHeight="true" outlineLevel="0" collapsed="false">
      <c r="A56" s="24"/>
      <c r="B56" s="18"/>
      <c r="C56" s="18"/>
      <c r="D56" s="4"/>
      <c r="E56" s="4" t="n">
        <v>0.1</v>
      </c>
      <c r="F56" s="18" t="n">
        <f aca="false">TIME(15,16,0)</f>
        <v>0.636111111111111</v>
      </c>
      <c r="G56" s="18" t="n">
        <f aca="false">TIME(15,22,0)</f>
        <v>0.640277777777778</v>
      </c>
      <c r="H56" s="7" t="n">
        <f aca="false">E56*(G56-F56)*24</f>
        <v>0.01</v>
      </c>
      <c r="I56" s="7" t="n">
        <f aca="false">(C56-B56)*24</f>
        <v>0</v>
      </c>
      <c r="J56" s="7" t="n">
        <f aca="false">(G56-F56)*24</f>
        <v>0.1</v>
      </c>
    </row>
    <row r="57" customFormat="false" ht="15" hidden="false" customHeight="true" outlineLevel="0" collapsed="false">
      <c r="A57" s="24"/>
      <c r="B57" s="18"/>
      <c r="C57" s="18"/>
      <c r="D57" s="4"/>
      <c r="E57" s="4" t="n">
        <v>0.01</v>
      </c>
      <c r="F57" s="18" t="n">
        <f aca="false">TIME(15,30,0)</f>
        <v>0.645833333333333</v>
      </c>
      <c r="G57" s="18" t="n">
        <f aca="false">TIME(15,37,0)</f>
        <v>0.650694444444445</v>
      </c>
      <c r="H57" s="7" t="n">
        <f aca="false">E57*(G57-F57)*24</f>
        <v>0.0011666667</v>
      </c>
      <c r="I57" s="7" t="n">
        <f aca="false">(C57-B57)*24</f>
        <v>0</v>
      </c>
      <c r="J57" s="7" t="n">
        <f aca="false">(G57-F57)*24</f>
        <v>0.11666667</v>
      </c>
    </row>
    <row r="58" customFormat="false" ht="15" hidden="false" customHeight="true" outlineLevel="0" collapsed="false">
      <c r="A58" s="24" t="n">
        <v>36084</v>
      </c>
      <c r="B58" s="18" t="n">
        <f aca="false">TIME(9,43,0)</f>
        <v>0.404861111111111</v>
      </c>
      <c r="C58" s="18" t="n">
        <f aca="false">TIME(12,36,0)</f>
        <v>0.525</v>
      </c>
      <c r="D58" s="4" t="s">
        <v>41</v>
      </c>
      <c r="E58" s="4" t="n">
        <v>0.01</v>
      </c>
      <c r="F58" s="18" t="n">
        <f aca="false">TIME(10,20,0)</f>
        <v>0.430555555555556</v>
      </c>
      <c r="G58" s="18" t="n">
        <f aca="false">TIME(10,21,0)</f>
        <v>0.43125</v>
      </c>
      <c r="H58" s="7" t="n">
        <f aca="false">E58*(G58-F58)*24</f>
        <v>0.00016666667</v>
      </c>
      <c r="I58" s="7" t="n">
        <f aca="false">(C58-B58)*24</f>
        <v>2.8833333</v>
      </c>
      <c r="J58" s="7" t="n">
        <f aca="false">(G58-F58)*24</f>
        <v>0.016666667</v>
      </c>
    </row>
    <row r="59" customFormat="false" ht="15" hidden="false" customHeight="true" outlineLevel="0" collapsed="false">
      <c r="A59" s="24"/>
      <c r="B59" s="18"/>
      <c r="C59" s="18"/>
      <c r="D59" s="4"/>
      <c r="E59" s="4" t="n">
        <v>100</v>
      </c>
      <c r="F59" s="18" t="n">
        <f aca="false">TIME(10,38,0)</f>
        <v>0.443055555555556</v>
      </c>
      <c r="G59" s="18" t="n">
        <f aca="false">TIME(12,31,0)</f>
        <v>0.521527777777778</v>
      </c>
      <c r="H59" s="7" t="n">
        <f aca="false">E59*(G59-F59)*24</f>
        <v>188.33333</v>
      </c>
      <c r="I59" s="7" t="n">
        <f aca="false">(C59-B59)*24</f>
        <v>0</v>
      </c>
      <c r="J59" s="7" t="n">
        <f aca="false">(G59-F59)*24</f>
        <v>1.8833333</v>
      </c>
    </row>
    <row r="60" customFormat="false" ht="15" hidden="false" customHeight="true" outlineLevel="0" collapsed="false">
      <c r="A60" s="24" t="n">
        <v>36087</v>
      </c>
      <c r="B60" s="18" t="n">
        <f aca="false">TIME(13,6,0)</f>
        <v>0.545833333333333</v>
      </c>
      <c r="C60" s="18" t="n">
        <f aca="false">TIME(15,1,0)</f>
        <v>0.625694444444444</v>
      </c>
      <c r="D60" s="4" t="s">
        <v>42</v>
      </c>
      <c r="E60" s="4" t="n">
        <v>0.01</v>
      </c>
      <c r="F60" s="18" t="n">
        <f aca="false">TIME(13,57,0)</f>
        <v>0.58125</v>
      </c>
      <c r="G60" s="18" t="n">
        <f aca="false">TIME(14,20,0)</f>
        <v>0.597222222222222</v>
      </c>
      <c r="H60" s="7" t="n">
        <f aca="false">E60*(G60-F60)*24</f>
        <v>0.0038333333</v>
      </c>
      <c r="I60" s="7" t="n">
        <f aca="false">(C60-B60)*24</f>
        <v>1.9166667</v>
      </c>
      <c r="J60" s="7" t="n">
        <f aca="false">(G60-F60)*24</f>
        <v>0.38333333</v>
      </c>
    </row>
    <row r="61" customFormat="false" ht="15" hidden="false" customHeight="true" outlineLevel="0" collapsed="false">
      <c r="A61" s="4"/>
      <c r="B61" s="18"/>
      <c r="C61" s="18"/>
      <c r="D61" s="4"/>
      <c r="E61" s="4" t="n">
        <v>100</v>
      </c>
      <c r="F61" s="18" t="n">
        <f aca="false">TIME(14,11,0)</f>
        <v>0.590972222222222</v>
      </c>
      <c r="G61" s="18" t="n">
        <f aca="false">TIME(14,56,0)</f>
        <v>0.622222222222222</v>
      </c>
      <c r="H61" s="7" t="n">
        <f aca="false">E61*(G61-F61)*24</f>
        <v>75</v>
      </c>
      <c r="I61" s="7" t="n">
        <f aca="false">(C61-B61)*24</f>
        <v>0</v>
      </c>
      <c r="J61" s="7" t="n">
        <f aca="false">(G61-F61)*24</f>
        <v>0.75</v>
      </c>
    </row>
    <row r="62" customFormat="false" ht="15" hidden="false" customHeight="true" outlineLevel="0" collapsed="false">
      <c r="A62" s="24" t="n">
        <v>36089</v>
      </c>
      <c r="B62" s="18" t="n">
        <f aca="false">TIME(13,0,0)</f>
        <v>0.541666666666667</v>
      </c>
      <c r="C62" s="18" t="n">
        <f aca="false">TIME(14,44,0)</f>
        <v>0.613888888888889</v>
      </c>
      <c r="D62" s="4" t="s">
        <v>40</v>
      </c>
      <c r="E62" s="4" t="n">
        <v>1</v>
      </c>
      <c r="F62" s="18" t="n">
        <f aca="false">TIME(13,42,0)</f>
        <v>0.570833333333333</v>
      </c>
      <c r="G62" s="18" t="n">
        <f aca="false">TIME(14,39,0)</f>
        <v>0.610416666666667</v>
      </c>
      <c r="H62" s="7" t="n">
        <f aca="false">E62*(G62-F62)*24</f>
        <v>0.95</v>
      </c>
      <c r="I62" s="7" t="n">
        <f aca="false">(C62-B62)*24</f>
        <v>1.7333333</v>
      </c>
      <c r="J62" s="7" t="n">
        <f aca="false">(G62-F62)*24</f>
        <v>0.95</v>
      </c>
    </row>
    <row r="63" customFormat="false" ht="15" hidden="false" customHeight="true" outlineLevel="0" collapsed="false">
      <c r="A63" s="24" t="n">
        <v>36090</v>
      </c>
      <c r="B63" s="18" t="n">
        <f aca="false">TIME(8,15,0)</f>
        <v>0.34375</v>
      </c>
      <c r="C63" s="18" t="n">
        <f aca="false">TIME(10,1,0)</f>
        <v>0.417361111111111</v>
      </c>
      <c r="D63" s="4" t="n">
        <v>5</v>
      </c>
      <c r="E63" s="4" t="n">
        <v>0.01</v>
      </c>
      <c r="F63" s="18" t="n">
        <f aca="false">TIME(9,10,0)</f>
        <v>0.381944444444444</v>
      </c>
      <c r="G63" s="18" t="n">
        <f aca="false">TIME(9,24,0)</f>
        <v>0.391666666666667</v>
      </c>
      <c r="H63" s="7" t="n">
        <f aca="false">E63*(G63-F63)*24</f>
        <v>0.0023333333</v>
      </c>
      <c r="I63" s="7" t="n">
        <f aca="false">(C63-B63)*24</f>
        <v>1.7666667</v>
      </c>
      <c r="J63" s="7" t="n">
        <f aca="false">(G63-F63)*24</f>
        <v>0.23333333</v>
      </c>
    </row>
    <row r="64" customFormat="false" ht="15" hidden="false" customHeight="true" outlineLevel="0" collapsed="false">
      <c r="A64" s="24"/>
      <c r="B64" s="18"/>
      <c r="C64" s="18"/>
      <c r="D64" s="4"/>
      <c r="E64" s="4" t="n">
        <v>0.1</v>
      </c>
      <c r="F64" s="18" t="n">
        <f aca="false">TIME(9,31,0)</f>
        <v>0.396527777777778</v>
      </c>
      <c r="G64" s="18" t="n">
        <f aca="false">TIME(9,56,0)</f>
        <v>0.413888888888889</v>
      </c>
      <c r="H64" s="7" t="n">
        <f aca="false">E64*(G64-F64)*24</f>
        <v>0.041666667</v>
      </c>
      <c r="I64" s="7" t="n">
        <f aca="false">(C64-B64)*24</f>
        <v>0</v>
      </c>
      <c r="J64" s="7" t="n">
        <f aca="false">(G64-F64)*24</f>
        <v>0.41666667</v>
      </c>
    </row>
    <row r="65" customFormat="false" ht="15" hidden="false" customHeight="true" outlineLevel="0" collapsed="false">
      <c r="A65" s="24" t="n">
        <v>36090</v>
      </c>
      <c r="B65" s="18" t="n">
        <f aca="false">TIME(12,34,0)</f>
        <v>0.523611111111111</v>
      </c>
      <c r="C65" s="18" t="n">
        <f aca="false">TIME(15,52,0)</f>
        <v>0.661111111111111</v>
      </c>
      <c r="D65" s="4" t="s">
        <v>39</v>
      </c>
      <c r="E65" s="4" t="n">
        <v>0.01</v>
      </c>
      <c r="F65" s="18" t="n">
        <f aca="false">TIME(13,21,0)</f>
        <v>0.55625</v>
      </c>
      <c r="G65" s="18" t="n">
        <f aca="false">TIME(13,24,0)</f>
        <v>0.558333333333333</v>
      </c>
      <c r="H65" s="7" t="n">
        <f aca="false">E65*(G65-F65)*24</f>
        <v>0.0005</v>
      </c>
      <c r="I65" s="7" t="n">
        <f aca="false">(C65-B65)*24</f>
        <v>3.3</v>
      </c>
      <c r="J65" s="7" t="n">
        <f aca="false">(G65-F65)*24</f>
        <v>0.05</v>
      </c>
    </row>
    <row r="66" customFormat="false" ht="15" hidden="false" customHeight="true" outlineLevel="0" collapsed="false">
      <c r="A66" s="24"/>
      <c r="B66" s="18"/>
      <c r="C66" s="18"/>
      <c r="D66" s="4"/>
      <c r="E66" s="4" t="n">
        <v>0.1</v>
      </c>
      <c r="F66" s="18" t="n">
        <f aca="false">TIME(13,31,0)</f>
        <v>0.563194444444444</v>
      </c>
      <c r="G66" s="18" t="n">
        <f aca="false">TIME(13,35,0)</f>
        <v>0.565972222222222</v>
      </c>
      <c r="H66" s="7" t="n">
        <f aca="false">E66*(G66-F66)*24</f>
        <v>0.0066666667</v>
      </c>
      <c r="I66" s="7" t="n">
        <f aca="false">(C66-B66)*24</f>
        <v>0</v>
      </c>
      <c r="J66" s="7" t="n">
        <f aca="false">(G66-F66)*24</f>
        <v>0.066666667</v>
      </c>
    </row>
    <row r="67" customFormat="false" ht="15" hidden="false" customHeight="true" outlineLevel="0" collapsed="false">
      <c r="A67" s="4"/>
      <c r="B67" s="18"/>
      <c r="C67" s="18"/>
      <c r="D67" s="4"/>
      <c r="E67" s="4" t="n">
        <v>1</v>
      </c>
      <c r="F67" s="18" t="n">
        <f aca="false">TIME(13,42,0)</f>
        <v>0.570833333333333</v>
      </c>
      <c r="G67" s="18" t="n">
        <f aca="false">TIME(13,46,0)</f>
        <v>0.573611111111111</v>
      </c>
      <c r="H67" s="7" t="n">
        <f aca="false">E67*(G67-F67)*24</f>
        <v>0.066666667</v>
      </c>
      <c r="I67" s="7" t="n">
        <f aca="false">(C67-B67)*24</f>
        <v>0</v>
      </c>
      <c r="J67" s="7" t="n">
        <f aca="false">(G67-F67)*24</f>
        <v>0.066666667</v>
      </c>
    </row>
    <row r="68" customFormat="false" ht="15" hidden="false" customHeight="true" outlineLevel="0" collapsed="false">
      <c r="A68" s="24"/>
      <c r="B68" s="18"/>
      <c r="C68" s="18"/>
      <c r="D68" s="4"/>
      <c r="E68" s="4" t="n">
        <v>0.1</v>
      </c>
      <c r="F68" s="18" t="n">
        <f aca="false">TIME(13,55,0)</f>
        <v>0.579861111111111</v>
      </c>
      <c r="G68" s="18" t="n">
        <f aca="false">TIME(13,58,0)</f>
        <v>0.581944444444445</v>
      </c>
      <c r="H68" s="7" t="n">
        <f aca="false">E68*(G68-F68)*24</f>
        <v>0.005</v>
      </c>
      <c r="I68" s="7" t="n">
        <f aca="false">(C68-B68)*24</f>
        <v>0</v>
      </c>
      <c r="J68" s="7" t="n">
        <f aca="false">(G68-F68)*24</f>
        <v>0.05</v>
      </c>
    </row>
    <row r="69" customFormat="false" ht="15" hidden="false" customHeight="true" outlineLevel="0" collapsed="false">
      <c r="A69" s="4"/>
      <c r="B69" s="18"/>
      <c r="C69" s="18"/>
      <c r="D69" s="4"/>
      <c r="E69" s="4" t="n">
        <v>0</v>
      </c>
      <c r="F69" s="18" t="n">
        <f aca="false">TIME(13,58,0)</f>
        <v>0.581944444444445</v>
      </c>
      <c r="G69" s="18" t="n">
        <f aca="false">TIME(14,34,0)</f>
        <v>0.606944444444444</v>
      </c>
      <c r="H69" s="7" t="n">
        <f aca="false">E69*(G69-F69)*24</f>
        <v>0</v>
      </c>
      <c r="I69" s="7" t="n">
        <f aca="false">(C69-B69)*24</f>
        <v>0</v>
      </c>
      <c r="J69" s="7" t="n">
        <f aca="false">(G69-F69)*24</f>
        <v>0.6</v>
      </c>
    </row>
    <row r="70" customFormat="false" ht="15" hidden="false" customHeight="true" outlineLevel="0" collapsed="false">
      <c r="A70" s="4"/>
      <c r="B70" s="18"/>
      <c r="C70" s="18"/>
      <c r="D70" s="4"/>
      <c r="E70" s="4" t="n">
        <v>0.01</v>
      </c>
      <c r="F70" s="18" t="n">
        <f aca="false">TIME(15,4,0)</f>
        <v>0.627777777777778</v>
      </c>
      <c r="G70" s="18" t="n">
        <f aca="false">TIME(15,11,0)</f>
        <v>0.632638888888889</v>
      </c>
      <c r="H70" s="7" t="n">
        <f aca="false">E70*(G70-F70)*24</f>
        <v>0.0011666667</v>
      </c>
      <c r="I70" s="7" t="n">
        <f aca="false">(C70-B70)*24</f>
        <v>0</v>
      </c>
      <c r="J70" s="7" t="n">
        <f aca="false">(G70-F70)*24</f>
        <v>0.11666667</v>
      </c>
    </row>
    <row r="71" customFormat="false" ht="15" hidden="false" customHeight="true" outlineLevel="0" collapsed="false">
      <c r="A71" s="4"/>
      <c r="B71" s="18"/>
      <c r="C71" s="18"/>
      <c r="D71" s="4"/>
      <c r="E71" s="4" t="n">
        <v>0.1</v>
      </c>
      <c r="F71" s="18" t="n">
        <f aca="false">TIME(15,21,0)</f>
        <v>0.639583333333333</v>
      </c>
      <c r="G71" s="18" t="n">
        <f aca="false">TIME(15,27,0)</f>
        <v>0.64375</v>
      </c>
      <c r="H71" s="7" t="n">
        <f aca="false">E71*(G71-F71)*24</f>
        <v>0.01</v>
      </c>
      <c r="I71" s="7" t="n">
        <f aca="false">(C71-B71)*24</f>
        <v>0</v>
      </c>
      <c r="J71" s="7" t="n">
        <f aca="false">(G71-F71)*24</f>
        <v>0.1</v>
      </c>
    </row>
    <row r="72" customFormat="false" ht="15" hidden="false" customHeight="true" outlineLevel="0" collapsed="false">
      <c r="A72" s="4"/>
      <c r="B72" s="18"/>
      <c r="C72" s="18"/>
      <c r="D72" s="4"/>
      <c r="E72" s="4" t="n">
        <v>1</v>
      </c>
      <c r="F72" s="18" t="n">
        <f aca="false">TIME(15,34,0)</f>
        <v>0.648611111111111</v>
      </c>
      <c r="G72" s="18" t="n">
        <f aca="false">TIME(15,38,0)</f>
        <v>0.651388888888889</v>
      </c>
      <c r="H72" s="7" t="n">
        <f aca="false">E72*(G72-F72)*24</f>
        <v>0.066666667</v>
      </c>
      <c r="I72" s="7" t="n">
        <f aca="false">(C72-B72)*24</f>
        <v>0</v>
      </c>
      <c r="J72" s="7" t="n">
        <f aca="false">(G72-F72)*24</f>
        <v>0.066666667</v>
      </c>
    </row>
    <row r="73" customFormat="false" ht="15" hidden="false" customHeight="true" outlineLevel="0" collapsed="false">
      <c r="A73" s="24"/>
      <c r="B73" s="18"/>
      <c r="C73" s="18"/>
      <c r="D73" s="4"/>
      <c r="E73" s="4" t="n">
        <v>0.1</v>
      </c>
      <c r="F73" s="18" t="n">
        <f aca="false">TIME(15,44,0)</f>
        <v>0.655555555555556</v>
      </c>
      <c r="G73" s="18" t="n">
        <f aca="false">TIME(15,47,0)</f>
        <v>0.657638888888889</v>
      </c>
      <c r="H73" s="7" t="n">
        <f aca="false">E73*(G73-F73)*24</f>
        <v>0.005</v>
      </c>
      <c r="I73" s="7" t="n">
        <f aca="false">(C73-B73)*24</f>
        <v>0</v>
      </c>
      <c r="J73" s="7" t="n">
        <f aca="false">(G73-F73)*24</f>
        <v>0.05</v>
      </c>
    </row>
    <row r="74" customFormat="false" ht="15" hidden="false" customHeight="true" outlineLevel="0" collapsed="false">
      <c r="A74" s="24" t="n">
        <v>36096</v>
      </c>
      <c r="B74" s="18" t="n">
        <f aca="false">TIME(13,8,0)</f>
        <v>0.547222222222222</v>
      </c>
      <c r="C74" s="18" t="n">
        <f aca="false">TIME(16,4,0)</f>
        <v>0.669444444444444</v>
      </c>
      <c r="D74" s="4" t="s">
        <v>40</v>
      </c>
      <c r="E74" s="4" t="n">
        <v>0.01</v>
      </c>
      <c r="F74" s="18" t="n">
        <f aca="false">TIME(13,49,0)</f>
        <v>0.575694444444444</v>
      </c>
      <c r="G74" s="18" t="n">
        <f aca="false">TIME(14,0,0)</f>
        <v>0.583333333333333</v>
      </c>
      <c r="H74" s="7" t="n">
        <f aca="false">E74*(G74-F74)*24</f>
        <v>0.0018333333</v>
      </c>
      <c r="I74" s="7" t="n">
        <f aca="false">(C74-B74)*24</f>
        <v>2.9333333</v>
      </c>
      <c r="J74" s="7" t="n">
        <f aca="false">(G74-F74)*24</f>
        <v>0.18333333</v>
      </c>
    </row>
    <row r="75" customFormat="false" ht="15" hidden="false" customHeight="true" outlineLevel="0" collapsed="false">
      <c r="A75" s="4"/>
      <c r="B75" s="18"/>
      <c r="C75" s="18"/>
      <c r="D75" s="4"/>
      <c r="E75" s="4" t="n">
        <v>0</v>
      </c>
      <c r="F75" s="18" t="n">
        <f aca="false">TIME(14,0,0)</f>
        <v>0.583333333333333</v>
      </c>
      <c r="G75" s="18" t="n">
        <f aca="false">TIME(14,10,0)</f>
        <v>0.590277777777778</v>
      </c>
      <c r="H75" s="7" t="n">
        <f aca="false">E75*(G75-F75)*24</f>
        <v>0</v>
      </c>
      <c r="I75" s="7" t="n">
        <f aca="false">(C75-B75)*24</f>
        <v>0</v>
      </c>
      <c r="J75" s="7" t="n">
        <f aca="false">(G75-F75)*24</f>
        <v>0.16666667</v>
      </c>
    </row>
    <row r="76" customFormat="false" ht="15" hidden="false" customHeight="true" outlineLevel="0" collapsed="false">
      <c r="A76" s="4"/>
      <c r="B76" s="18"/>
      <c r="C76" s="18"/>
      <c r="D76" s="4"/>
      <c r="E76" s="4" t="n">
        <v>0.01</v>
      </c>
      <c r="F76" s="18" t="n">
        <f aca="false">TIME(14,20,0)</f>
        <v>0.597222222222222</v>
      </c>
      <c r="G76" s="18" t="n">
        <f aca="false">TIME(14,26,0)</f>
        <v>0.601388888888889</v>
      </c>
      <c r="H76" s="7" t="n">
        <f aca="false">E76*(G76-F76)*24</f>
        <v>0.001</v>
      </c>
      <c r="I76" s="7" t="n">
        <f aca="false">(C76-B76)*24</f>
        <v>0</v>
      </c>
      <c r="J76" s="7" t="n">
        <f aca="false">(G76-F76)*24</f>
        <v>0.1</v>
      </c>
    </row>
    <row r="77" customFormat="false" ht="15" hidden="false" customHeight="true" outlineLevel="0" collapsed="false">
      <c r="A77" s="24"/>
      <c r="B77" s="18"/>
      <c r="C77" s="18"/>
      <c r="D77" s="4"/>
      <c r="E77" s="4" t="n">
        <v>0</v>
      </c>
      <c r="F77" s="18" t="n">
        <f aca="false">TIME(14,26,0)</f>
        <v>0.601388888888889</v>
      </c>
      <c r="G77" s="18" t="n">
        <f aca="false">TIME(14,33,0)</f>
        <v>0.60625</v>
      </c>
      <c r="H77" s="7" t="n">
        <f aca="false">E77*(G77-F77)*24</f>
        <v>0</v>
      </c>
      <c r="I77" s="7" t="n">
        <f aca="false">(C77-B77)*24</f>
        <v>0</v>
      </c>
      <c r="J77" s="7" t="n">
        <f aca="false">(G77-F77)*24</f>
        <v>0.11666667</v>
      </c>
    </row>
    <row r="78" customFormat="false" ht="15" hidden="false" customHeight="true" outlineLevel="0" collapsed="false">
      <c r="A78" s="4"/>
      <c r="B78" s="18"/>
      <c r="C78" s="18"/>
      <c r="D78" s="4"/>
      <c r="E78" s="4" t="n">
        <v>0.01</v>
      </c>
      <c r="F78" s="18" t="n">
        <f aca="false">TIME(14,41,0)</f>
        <v>0.611805555555556</v>
      </c>
      <c r="G78" s="18" t="n">
        <f aca="false">TIME(14,48,0)</f>
        <v>0.616666666666667</v>
      </c>
      <c r="H78" s="7" t="n">
        <f aca="false">E78*(G78-F78)*24</f>
        <v>0.0011666667</v>
      </c>
      <c r="I78" s="7" t="n">
        <f aca="false">(C78-B78)*24</f>
        <v>0</v>
      </c>
      <c r="J78" s="7" t="n">
        <f aca="false">(G78-F78)*24</f>
        <v>0.11666667</v>
      </c>
    </row>
    <row r="79" customFormat="false" ht="15" hidden="false" customHeight="true" outlineLevel="0" collapsed="false">
      <c r="A79" s="4"/>
      <c r="B79" s="18"/>
      <c r="C79" s="18"/>
      <c r="D79" s="4"/>
      <c r="E79" s="4" t="n">
        <v>0</v>
      </c>
      <c r="F79" s="18" t="n">
        <f aca="false">TIME(14,48,0)</f>
        <v>0.616666666666667</v>
      </c>
      <c r="G79" s="18" t="n">
        <f aca="false">TIME(14,57,0)</f>
        <v>0.622916666666667</v>
      </c>
      <c r="H79" s="7" t="n">
        <f aca="false">E79*(G79-F79)*24</f>
        <v>0</v>
      </c>
      <c r="I79" s="7" t="n">
        <f aca="false">(C79-B79)*24</f>
        <v>0</v>
      </c>
      <c r="J79" s="7" t="n">
        <f aca="false">(G79-F79)*24</f>
        <v>0.15</v>
      </c>
    </row>
    <row r="80" customFormat="false" ht="15" hidden="false" customHeight="true" outlineLevel="0" collapsed="false">
      <c r="A80" s="4"/>
      <c r="B80" s="18"/>
      <c r="C80" s="18"/>
      <c r="D80" s="4"/>
      <c r="E80" s="4" t="n">
        <v>0.01</v>
      </c>
      <c r="F80" s="18" t="n">
        <f aca="false">TIME(15,6,0)</f>
        <v>0.629166666666667</v>
      </c>
      <c r="G80" s="18" t="n">
        <f aca="false">TIME(15,10,0)</f>
        <v>0.631944444444444</v>
      </c>
      <c r="H80" s="7" t="n">
        <f aca="false">E80*(G80-F80)*24</f>
        <v>0.00066666667</v>
      </c>
      <c r="I80" s="7" t="n">
        <f aca="false">(C80-B80)*24</f>
        <v>0</v>
      </c>
      <c r="J80" s="7" t="n">
        <f aca="false">(G80-F80)*24</f>
        <v>0.066666667</v>
      </c>
    </row>
    <row r="81" customFormat="false" ht="15" hidden="false" customHeight="true" outlineLevel="0" collapsed="false">
      <c r="A81" s="24"/>
      <c r="B81" s="18"/>
      <c r="C81" s="18"/>
      <c r="D81" s="4"/>
      <c r="E81" s="4" t="n">
        <v>0</v>
      </c>
      <c r="F81" s="18" t="n">
        <f aca="false">TIME(15,10,0)</f>
        <v>0.631944444444444</v>
      </c>
      <c r="G81" s="18" t="n">
        <f aca="false">TIME(15,16,0)</f>
        <v>0.636111111111111</v>
      </c>
      <c r="H81" s="7" t="n">
        <f aca="false">E81*(G81-F81)*24</f>
        <v>0</v>
      </c>
      <c r="I81" s="7" t="n">
        <f aca="false">(C81-B81)*24</f>
        <v>0</v>
      </c>
      <c r="J81" s="7" t="n">
        <f aca="false">(G81-F81)*24</f>
        <v>0.1</v>
      </c>
    </row>
    <row r="82" customFormat="false" ht="15" hidden="false" customHeight="true" outlineLevel="0" collapsed="false">
      <c r="A82" s="24"/>
      <c r="B82" s="18"/>
      <c r="C82" s="18"/>
      <c r="D82" s="4"/>
      <c r="E82" s="4" t="n">
        <v>0.01</v>
      </c>
      <c r="F82" s="18" t="n">
        <f aca="false">TIME(15,28,0)</f>
        <v>0.644444444444445</v>
      </c>
      <c r="G82" s="18" t="n">
        <f aca="false">TIME(15,35,0)</f>
        <v>0.649305555555556</v>
      </c>
      <c r="H82" s="7" t="n">
        <f aca="false">E82*(G82-F82)*24</f>
        <v>0.0011666667</v>
      </c>
      <c r="I82" s="7" t="n">
        <f aca="false">(C82-B82)*24</f>
        <v>0</v>
      </c>
      <c r="J82" s="7" t="n">
        <f aca="false">(G82-F82)*24</f>
        <v>0.11666667</v>
      </c>
    </row>
    <row r="83" customFormat="false" ht="15" hidden="false" customHeight="true" outlineLevel="0" collapsed="false">
      <c r="A83" s="4"/>
      <c r="B83" s="18"/>
      <c r="C83" s="18"/>
      <c r="D83" s="4"/>
      <c r="E83" s="4" t="n">
        <v>0</v>
      </c>
      <c r="F83" s="18" t="n">
        <f aca="false">TIME(15,35,0)</f>
        <v>0.649305555555556</v>
      </c>
      <c r="G83" s="18" t="n">
        <f aca="false">TIME(15,39,0)</f>
        <v>0.652083333333333</v>
      </c>
      <c r="H83" s="7" t="n">
        <f aca="false">E83*(G83-F83)*24</f>
        <v>0</v>
      </c>
      <c r="I83" s="7" t="n">
        <f aca="false">(C83-B83)*24</f>
        <v>0</v>
      </c>
      <c r="J83" s="7" t="n">
        <f aca="false">(G83-F83)*24</f>
        <v>0.066666667</v>
      </c>
    </row>
    <row r="84" customFormat="false" ht="15" hidden="false" customHeight="true" outlineLevel="0" collapsed="false">
      <c r="A84" s="4"/>
      <c r="B84" s="18"/>
      <c r="C84" s="18"/>
      <c r="D84" s="4"/>
      <c r="E84" s="4" t="n">
        <v>0.01</v>
      </c>
      <c r="F84" s="18" t="n">
        <f aca="false">TIME(15,52,0)</f>
        <v>0.661111111111111</v>
      </c>
      <c r="G84" s="18" t="n">
        <f aca="false">TIME(15,59,0)</f>
        <v>0.665972222222222</v>
      </c>
      <c r="H84" s="7" t="n">
        <f aca="false">E84*(G84-F84)*24</f>
        <v>0.0011666667</v>
      </c>
      <c r="I84" s="7" t="n">
        <f aca="false">(C84-B84)*24</f>
        <v>0</v>
      </c>
      <c r="J84" s="7" t="n">
        <f aca="false">(G84-F84)*24</f>
        <v>0.11666667</v>
      </c>
    </row>
    <row r="85" customFormat="false" ht="15" hidden="false" customHeight="true" outlineLevel="0" collapsed="false">
      <c r="A85" s="24" t="n">
        <v>36097</v>
      </c>
      <c r="B85" s="18" t="n">
        <f aca="false">TIME(12,40,0)</f>
        <v>0.527777777777778</v>
      </c>
      <c r="C85" s="18" t="n">
        <f aca="false">TIME(14,6,0)</f>
        <v>0.5875</v>
      </c>
      <c r="D85" s="4" t="s">
        <v>39</v>
      </c>
      <c r="E85" s="4" t="n">
        <v>0.01</v>
      </c>
      <c r="F85" s="18" t="n">
        <f aca="false">TIME(13,45,0)</f>
        <v>0.572916666666667</v>
      </c>
      <c r="G85" s="18" t="n">
        <f aca="false">TIME(13,51,0)</f>
        <v>0.577083333333333</v>
      </c>
      <c r="H85" s="7" t="n">
        <f aca="false">E85*(G85-F85)*24</f>
        <v>0.001</v>
      </c>
      <c r="I85" s="7" t="n">
        <f aca="false">(C85-B85)*24</f>
        <v>1.4333333</v>
      </c>
      <c r="J85" s="7" t="n">
        <f aca="false">(G85-F85)*24</f>
        <v>0.1</v>
      </c>
    </row>
    <row r="86" customFormat="false" ht="15" hidden="false" customHeight="true" outlineLevel="0" collapsed="false">
      <c r="A86" s="24"/>
      <c r="B86" s="18"/>
      <c r="C86" s="18"/>
      <c r="D86" s="4"/>
      <c r="E86" s="4" t="n">
        <v>0.1</v>
      </c>
      <c r="F86" s="18" t="n">
        <f aca="false">TIME(13,57,0)</f>
        <v>0.58125</v>
      </c>
      <c r="G86" s="18" t="n">
        <f aca="false">TIME(14,1,0)</f>
        <v>0.584027777777778</v>
      </c>
      <c r="H86" s="7" t="n">
        <f aca="false">E86*(G86-F86)*24</f>
        <v>0.0066666667</v>
      </c>
      <c r="I86" s="7" t="n">
        <f aca="false">(C86-B86)*24</f>
        <v>0</v>
      </c>
      <c r="J86" s="7" t="n">
        <f aca="false">(G86-F86)*24</f>
        <v>0.066666667</v>
      </c>
    </row>
    <row r="87" customFormat="false" ht="15" hidden="false" customHeight="true" outlineLevel="0" collapsed="false">
      <c r="A87" s="24" t="n">
        <v>36097</v>
      </c>
      <c r="B87" s="18" t="n">
        <f aca="false">TIME(14,30,0)</f>
        <v>0.604166666666667</v>
      </c>
      <c r="C87" s="18" t="n">
        <f aca="false">TIME(16,25,0)</f>
        <v>0.684027777777778</v>
      </c>
      <c r="D87" s="4" t="s">
        <v>39</v>
      </c>
      <c r="E87" s="4" t="n">
        <v>0.01</v>
      </c>
      <c r="F87" s="18" t="n">
        <f aca="false">TIME(15,49,0)</f>
        <v>0.659027777777778</v>
      </c>
      <c r="G87" s="18" t="n">
        <f aca="false">TIME(15,54,0)</f>
        <v>0.6625</v>
      </c>
      <c r="H87" s="7" t="n">
        <f aca="false">E87*(G87-F87)*24</f>
        <v>0.00083333333</v>
      </c>
      <c r="I87" s="7" t="n">
        <f aca="false">(C87-B87)*24</f>
        <v>1.9166667</v>
      </c>
      <c r="J87" s="7" t="n">
        <f aca="false">(G87-F87)*24</f>
        <v>0.083333333</v>
      </c>
    </row>
    <row r="88" customFormat="false" ht="15" hidden="false" customHeight="true" outlineLevel="0" collapsed="false">
      <c r="A88" s="24"/>
      <c r="B88" s="18"/>
      <c r="C88" s="18"/>
      <c r="D88" s="4"/>
      <c r="E88" s="4" t="n">
        <v>0.1</v>
      </c>
      <c r="F88" s="18" t="n">
        <f aca="false">TIME(16,1,0)</f>
        <v>0.667361111111111</v>
      </c>
      <c r="G88" s="18" t="n">
        <f aca="false">TIME(16,6,0)</f>
        <v>0.670833333333333</v>
      </c>
      <c r="H88" s="7" t="n">
        <f aca="false">E88*(G88-F88)*24</f>
        <v>0.0083333333</v>
      </c>
      <c r="I88" s="7" t="n">
        <f aca="false">(C88-B88)*24</f>
        <v>0</v>
      </c>
      <c r="J88" s="7" t="n">
        <f aca="false">(G88-F88)*24</f>
        <v>0.083333333</v>
      </c>
    </row>
    <row r="89" customFormat="false" ht="15" hidden="false" customHeight="true" outlineLevel="0" collapsed="false">
      <c r="A89" s="24"/>
      <c r="B89" s="18"/>
      <c r="C89" s="18"/>
      <c r="D89" s="4"/>
      <c r="E89" s="4" t="n">
        <v>0.01</v>
      </c>
      <c r="F89" s="18" t="n">
        <f aca="false">TIME(16,15,0)</f>
        <v>0.677083333333333</v>
      </c>
      <c r="G89" s="18" t="n">
        <f aca="false">TIME(16,20,0)</f>
        <v>0.680555555555556</v>
      </c>
      <c r="H89" s="7" t="n">
        <f aca="false">E89*(G89-F89)*24</f>
        <v>0.00083333333</v>
      </c>
      <c r="I89" s="7" t="n">
        <f aca="false">(C89-B89)*24</f>
        <v>0</v>
      </c>
      <c r="J89" s="7" t="n">
        <f aca="false">(G89-F89)*24</f>
        <v>0.083333333</v>
      </c>
    </row>
    <row r="90" customFormat="false" ht="15" hidden="false" customHeight="true" outlineLevel="0" collapsed="false">
      <c r="A90" s="24" t="n">
        <v>36098</v>
      </c>
      <c r="B90" s="18" t="n">
        <f aca="false">TIME(8,40,0)</f>
        <v>0.361111111111111</v>
      </c>
      <c r="C90" s="18" t="n">
        <f aca="false">TIME(10,12,0)</f>
        <v>0.425</v>
      </c>
      <c r="D90" s="4" t="s">
        <v>43</v>
      </c>
      <c r="E90" s="4" t="n">
        <v>0.01</v>
      </c>
      <c r="F90" s="18" t="n">
        <f aca="false">TIME(9,40,0)</f>
        <v>0.402777777777778</v>
      </c>
      <c r="G90" s="18" t="n">
        <f aca="false">TIME(9,43,0)</f>
        <v>0.404861111111111</v>
      </c>
      <c r="H90" s="7" t="n">
        <f aca="false">E90*(G90-F90)*24</f>
        <v>0.0005</v>
      </c>
      <c r="I90" s="7" t="n">
        <f aca="false">(C90-B90)*24</f>
        <v>1.5333333</v>
      </c>
      <c r="J90" s="7" t="n">
        <f aca="false">(G90-F90)*24</f>
        <v>0.05</v>
      </c>
    </row>
    <row r="91" customFormat="false" ht="15" hidden="false" customHeight="true" outlineLevel="0" collapsed="false">
      <c r="A91" s="24"/>
      <c r="B91" s="18"/>
      <c r="C91" s="18"/>
      <c r="D91" s="4"/>
      <c r="E91" s="4" t="n">
        <v>5</v>
      </c>
      <c r="F91" s="18" t="n">
        <f aca="false">TIME(9,54,0)</f>
        <v>0.4125</v>
      </c>
      <c r="G91" s="18" t="n">
        <f aca="false">TIME(10,7,0)</f>
        <v>0.421527777777778</v>
      </c>
      <c r="H91" s="7" t="n">
        <f aca="false">E91*(G91-F91)*24</f>
        <v>1.0833333</v>
      </c>
      <c r="I91" s="7" t="n">
        <f aca="false">(C91-B91)*24</f>
        <v>0</v>
      </c>
      <c r="J91" s="7" t="n">
        <f aca="false">(G91-F91)*24</f>
        <v>0.21666667</v>
      </c>
    </row>
    <row r="92" customFormat="false" ht="15" hidden="false" customHeight="true" outlineLevel="0" collapsed="false">
      <c r="A92" s="24" t="n">
        <v>36102</v>
      </c>
      <c r="B92" s="18" t="n">
        <f aca="false">TIME(9,12,0)</f>
        <v>0.383333333333333</v>
      </c>
      <c r="C92" s="18" t="n">
        <f aca="false">TIME(13,0,0)</f>
        <v>0.541666666666667</v>
      </c>
      <c r="D92" s="4" t="n">
        <v>5</v>
      </c>
      <c r="E92" s="4" t="n">
        <v>0.008</v>
      </c>
      <c r="F92" s="18" t="n">
        <f aca="false">TIME(9,50,0)</f>
        <v>0.409722222222222</v>
      </c>
      <c r="G92" s="18" t="n">
        <f aca="false">TIME(9,53,0)</f>
        <v>0.411805555555556</v>
      </c>
      <c r="H92" s="7" t="n">
        <f aca="false">E92*(G92-F92)*24</f>
        <v>0.0004</v>
      </c>
      <c r="I92" s="7" t="n">
        <f aca="false">(C92-B92)*24</f>
        <v>3.8</v>
      </c>
      <c r="J92" s="7" t="n">
        <f aca="false">(G92-F92)*24</f>
        <v>0.05</v>
      </c>
    </row>
    <row r="93" customFormat="false" ht="15" hidden="false" customHeight="true" outlineLevel="0" collapsed="false">
      <c r="A93" s="4"/>
      <c r="B93" s="18"/>
      <c r="C93" s="18"/>
      <c r="D93" s="4"/>
      <c r="E93" s="4" t="n">
        <v>0.1</v>
      </c>
      <c r="F93" s="18" t="n">
        <f aca="false">TIME(9,57,0)</f>
        <v>0.414583333333333</v>
      </c>
      <c r="G93" s="18" t="n">
        <f aca="false">TIME(10,22,0)</f>
        <v>0.431944444444444</v>
      </c>
      <c r="H93" s="7" t="n">
        <f aca="false">E93*(G93-F93)*24</f>
        <v>0.041666667</v>
      </c>
      <c r="I93" s="7" t="n">
        <f aca="false">(C93-B93)*24</f>
        <v>0</v>
      </c>
      <c r="J93" s="7" t="n">
        <f aca="false">(G93-F93)*24</f>
        <v>0.41666667</v>
      </c>
    </row>
    <row r="94" customFormat="false" ht="15" hidden="false" customHeight="true" outlineLevel="0" collapsed="false">
      <c r="A94" s="4"/>
      <c r="B94" s="18"/>
      <c r="C94" s="18"/>
      <c r="D94" s="4"/>
      <c r="E94" s="4" t="n">
        <v>100</v>
      </c>
      <c r="F94" s="18" t="n">
        <f aca="false">TIME(10,33,0)</f>
        <v>0.439583333333333</v>
      </c>
      <c r="G94" s="18" t="n">
        <f aca="false">TIME(10,58,0)</f>
        <v>0.456944444444444</v>
      </c>
      <c r="H94" s="7" t="n">
        <f aca="false">E94*(G94-F94)*24</f>
        <v>41.666667</v>
      </c>
      <c r="I94" s="7" t="n">
        <f aca="false">(C94-B94)*24</f>
        <v>0</v>
      </c>
      <c r="J94" s="7" t="n">
        <f aca="false">(G94-F94)*24</f>
        <v>0.41666667</v>
      </c>
    </row>
    <row r="95" customFormat="false" ht="15" hidden="false" customHeight="true" outlineLevel="0" collapsed="false">
      <c r="A95" s="4"/>
      <c r="B95" s="18"/>
      <c r="C95" s="18"/>
      <c r="D95" s="4"/>
      <c r="E95" s="4" t="n">
        <v>0.1</v>
      </c>
      <c r="F95" s="18" t="n">
        <f aca="false">TIME(11,9,0)</f>
        <v>0.464583333333333</v>
      </c>
      <c r="G95" s="18" t="n">
        <f aca="false">TIME(11,35,0)</f>
        <v>0.482638888888889</v>
      </c>
      <c r="H95" s="7" t="n">
        <f aca="false">E95*(G95-F95)*24</f>
        <v>0.043333333</v>
      </c>
      <c r="I95" s="7" t="n">
        <f aca="false">(C95-B95)*24</f>
        <v>0</v>
      </c>
      <c r="J95" s="7" t="n">
        <f aca="false">(G95-F95)*24</f>
        <v>0.43333333</v>
      </c>
    </row>
    <row r="96" customFormat="false" ht="15" hidden="false" customHeight="true" outlineLevel="0" collapsed="false">
      <c r="A96" s="24"/>
      <c r="B96" s="18"/>
      <c r="C96" s="18"/>
      <c r="D96" s="4"/>
      <c r="E96" s="4" t="n">
        <v>150</v>
      </c>
      <c r="F96" s="18" t="n">
        <f aca="false">TIME(11,52,0)</f>
        <v>0.494444444444444</v>
      </c>
      <c r="G96" s="18" t="n">
        <f aca="false">TIME(12,26,0)</f>
        <v>0.518055555555556</v>
      </c>
      <c r="H96" s="7" t="n">
        <f aca="false">E96*(G96-F96)*24</f>
        <v>85</v>
      </c>
      <c r="I96" s="7" t="n">
        <f aca="false">(C96-B96)*24</f>
        <v>0</v>
      </c>
      <c r="J96" s="7" t="n">
        <f aca="false">(G96-F96)*24</f>
        <v>0.56666667</v>
      </c>
    </row>
    <row r="97" customFormat="false" ht="15" hidden="false" customHeight="true" outlineLevel="0" collapsed="false">
      <c r="A97" s="4"/>
      <c r="B97" s="18"/>
      <c r="C97" s="18"/>
      <c r="D97" s="4"/>
      <c r="E97" s="4" t="n">
        <v>0.1</v>
      </c>
      <c r="F97" s="18" t="n">
        <f aca="false">TIME(12,45,0)</f>
        <v>0.53125</v>
      </c>
      <c r="G97" s="18" t="n">
        <f aca="false">TIME(12,55,0)</f>
        <v>0.538194444444444</v>
      </c>
      <c r="H97" s="7" t="n">
        <f aca="false">E97*(G97-F97)*24</f>
        <v>0.016666667</v>
      </c>
      <c r="I97" s="7" t="n">
        <f aca="false">(C97-B97)*24</f>
        <v>0</v>
      </c>
      <c r="J97" s="7" t="n">
        <f aca="false">(G97-F97)*24</f>
        <v>0.16666667</v>
      </c>
    </row>
    <row r="98" customFormat="false" ht="15" hidden="false" customHeight="true" outlineLevel="0" collapsed="false">
      <c r="A98" s="24" t="n">
        <v>36103</v>
      </c>
      <c r="B98" s="18" t="n">
        <f aca="false">TIME(9,48,0)</f>
        <v>0.408333333333333</v>
      </c>
      <c r="C98" s="18" t="n">
        <f aca="false">TIME(16,22,0)</f>
        <v>0.681944444444445</v>
      </c>
      <c r="D98" s="4" t="s">
        <v>40</v>
      </c>
      <c r="E98" s="4" t="n">
        <v>0.01</v>
      </c>
      <c r="F98" s="18" t="n">
        <f aca="false">TIME(10,40,0)</f>
        <v>0.444444444444444</v>
      </c>
      <c r="G98" s="18" t="n">
        <f aca="false">TIME(10,45,0)</f>
        <v>0.447916666666667</v>
      </c>
      <c r="H98" s="7" t="n">
        <f aca="false">E98*(G98-F98)*24</f>
        <v>0.00083333333</v>
      </c>
      <c r="I98" s="7" t="n">
        <f aca="false">(C98-B98)*24</f>
        <v>6.5666667</v>
      </c>
      <c r="J98" s="7" t="n">
        <f aca="false">(G98-F98)*24</f>
        <v>0.083333333</v>
      </c>
    </row>
    <row r="99" customFormat="false" ht="15" hidden="false" customHeight="true" outlineLevel="0" collapsed="false">
      <c r="A99" s="4"/>
      <c r="B99" s="18"/>
      <c r="C99" s="18"/>
      <c r="D99" s="4"/>
      <c r="E99" s="4" t="n">
        <v>0.1</v>
      </c>
      <c r="F99" s="18" t="n">
        <f aca="false">TIME(10,53,0)</f>
        <v>0.453472222222222</v>
      </c>
      <c r="G99" s="18" t="n">
        <f aca="false">TIME(11,8,0)</f>
        <v>0.463888888888889</v>
      </c>
      <c r="H99" s="7" t="n">
        <f aca="false">E99*(G99-F99)*24</f>
        <v>0.025</v>
      </c>
      <c r="I99" s="7" t="n">
        <f aca="false">(C99-B99)*24</f>
        <v>0</v>
      </c>
      <c r="J99" s="7" t="n">
        <f aca="false">(G99-F99)*24</f>
        <v>0.25</v>
      </c>
    </row>
    <row r="100" customFormat="false" ht="15" hidden="false" customHeight="true" outlineLevel="0" collapsed="false">
      <c r="A100" s="24"/>
      <c r="B100" s="18"/>
      <c r="C100" s="18"/>
      <c r="D100" s="4"/>
      <c r="E100" s="4" t="n">
        <v>150</v>
      </c>
      <c r="F100" s="18" t="n">
        <f aca="false">TIME(11,26,0)</f>
        <v>0.476388888888889</v>
      </c>
      <c r="G100" s="18" t="n">
        <f aca="false">TIME(11,40,0)</f>
        <v>0.486111111111111</v>
      </c>
      <c r="H100" s="7" t="n">
        <f aca="false">E100*(G100-F100)*24</f>
        <v>35</v>
      </c>
      <c r="I100" s="7" t="n">
        <f aca="false">(C100-B100)*24</f>
        <v>0</v>
      </c>
      <c r="J100" s="7" t="n">
        <f aca="false">(G100-F100)*24</f>
        <v>0.23333333</v>
      </c>
    </row>
    <row r="101" customFormat="false" ht="15" hidden="false" customHeight="true" outlineLevel="0" collapsed="false">
      <c r="A101" s="24"/>
      <c r="B101" s="18"/>
      <c r="C101" s="18"/>
      <c r="D101" s="4"/>
      <c r="E101" s="4" t="n">
        <v>180</v>
      </c>
      <c r="F101" s="18" t="n">
        <f aca="false">TIME(11,46,0)</f>
        <v>0.490277777777778</v>
      </c>
      <c r="G101" s="18" t="n">
        <f aca="false">TIME(16,17,0)</f>
        <v>0.678472222222222</v>
      </c>
      <c r="H101" s="7" t="n">
        <f aca="false">E101*(G101-F101)*24</f>
        <v>813</v>
      </c>
      <c r="I101" s="7" t="n">
        <f aca="false">(C101-B101)*24</f>
        <v>0</v>
      </c>
      <c r="J101" s="7" t="n">
        <f aca="false">(G101-F101)*24</f>
        <v>4.5166667</v>
      </c>
    </row>
    <row r="102" customFormat="false" ht="15" hidden="false" customHeight="true" outlineLevel="0" collapsed="false">
      <c r="A102" s="24" t="n">
        <v>36104</v>
      </c>
      <c r="B102" s="18" t="n">
        <f aca="false">TIME(12,31,0)</f>
        <v>0.521527777777778</v>
      </c>
      <c r="C102" s="18" t="n">
        <f aca="false">TIME(13,48,0)</f>
        <v>0.575</v>
      </c>
      <c r="D102" s="4" t="s">
        <v>39</v>
      </c>
      <c r="E102" s="4" t="n">
        <v>0.01</v>
      </c>
      <c r="F102" s="18" t="n">
        <f aca="false">TIME(13,26,0)</f>
        <v>0.559722222222222</v>
      </c>
      <c r="G102" s="18" t="n">
        <f aca="false">TIME(13,32,0)</f>
        <v>0.563888888888889</v>
      </c>
      <c r="H102" s="7" t="n">
        <f aca="false">E102*(G102-F102)*24</f>
        <v>0.001</v>
      </c>
      <c r="I102" s="7" t="n">
        <f aca="false">(C102-B102)*24</f>
        <v>1.2833333</v>
      </c>
      <c r="J102" s="7" t="n">
        <f aca="false">(G102-F102)*24</f>
        <v>0.1</v>
      </c>
    </row>
    <row r="103" customFormat="false" ht="15" hidden="false" customHeight="true" outlineLevel="0" collapsed="false">
      <c r="A103" s="4"/>
      <c r="B103" s="18"/>
      <c r="C103" s="18"/>
      <c r="D103" s="4"/>
      <c r="E103" s="4" t="n">
        <v>0.1</v>
      </c>
      <c r="F103" s="18" t="n">
        <f aca="false">TIME(13,40,0)</f>
        <v>0.569444444444444</v>
      </c>
      <c r="G103" s="18" t="n">
        <f aca="false">TIME(13,43,0)</f>
        <v>0.571527777777778</v>
      </c>
      <c r="H103" s="7" t="n">
        <f aca="false">E103*(G103-F103)*24</f>
        <v>0.005</v>
      </c>
      <c r="I103" s="7" t="n">
        <f aca="false">(C103-B103)*24</f>
        <v>0</v>
      </c>
      <c r="J103" s="7" t="n">
        <f aca="false">(G103-F103)*24</f>
        <v>0.05</v>
      </c>
    </row>
    <row r="104" customFormat="false" ht="15" hidden="false" customHeight="true" outlineLevel="0" collapsed="false">
      <c r="A104" s="24" t="n">
        <v>36104</v>
      </c>
      <c r="B104" s="18" t="n">
        <f aca="false">TIME(14,32,0)</f>
        <v>0.605555555555556</v>
      </c>
      <c r="C104" s="18" t="n">
        <f aca="false">TIME(16,32,0)</f>
        <v>0.688888888888889</v>
      </c>
      <c r="D104" s="4" t="s">
        <v>39</v>
      </c>
      <c r="E104" s="4" t="n">
        <v>0.01</v>
      </c>
      <c r="F104" s="18" t="n">
        <f aca="false">TIME(16,22,0)</f>
        <v>0.681944444444445</v>
      </c>
      <c r="G104" s="18" t="n">
        <f aca="false">TIME(16,27,0)</f>
        <v>0.685416666666667</v>
      </c>
      <c r="H104" s="7" t="n">
        <f aca="false">E104*(G104-F104)*24</f>
        <v>0.00083333333</v>
      </c>
      <c r="I104" s="7" t="n">
        <f aca="false">(C104-B104)*24</f>
        <v>2</v>
      </c>
      <c r="J104" s="7" t="n">
        <f aca="false">(G104-F104)*24</f>
        <v>0.083333333</v>
      </c>
    </row>
    <row r="105" customFormat="false" ht="15" hidden="false" customHeight="true" outlineLevel="0" collapsed="false">
      <c r="A105" s="24" t="n">
        <v>36105</v>
      </c>
      <c r="B105" s="18" t="n">
        <f aca="false">TIME(9,51,0)</f>
        <v>0.410416666666667</v>
      </c>
      <c r="C105" s="18" t="n">
        <f aca="false">TIME(13,20,0)</f>
        <v>0.555555555555556</v>
      </c>
      <c r="D105" s="4" t="s">
        <v>44</v>
      </c>
      <c r="E105" s="4" t="n">
        <v>0.01</v>
      </c>
      <c r="F105" s="18" t="n">
        <f aca="false">TIME(10,51,0)</f>
        <v>0.452083333333333</v>
      </c>
      <c r="G105" s="18" t="n">
        <f aca="false">TIME(10,53,0)</f>
        <v>0.453472222222222</v>
      </c>
      <c r="H105" s="7" t="n">
        <f aca="false">E105*(G105-F105)*24</f>
        <v>0.00033333333</v>
      </c>
      <c r="I105" s="7" t="n">
        <f aca="false">(C105-B105)*24</f>
        <v>3.4833333</v>
      </c>
      <c r="J105" s="7" t="n">
        <f aca="false">(G105-F105)*24</f>
        <v>0.033333333</v>
      </c>
    </row>
    <row r="106" customFormat="false" ht="15" hidden="false" customHeight="true" outlineLevel="0" collapsed="false">
      <c r="A106" s="24"/>
      <c r="B106" s="18"/>
      <c r="C106" s="18"/>
      <c r="D106" s="4"/>
      <c r="E106" s="4" t="n">
        <v>100</v>
      </c>
      <c r="F106" s="18" t="n">
        <f aca="false">TIME(11,7,0)</f>
        <v>0.463194444444444</v>
      </c>
      <c r="G106" s="18" t="n">
        <f aca="false">TIME(11,9,0)</f>
        <v>0.464583333333333</v>
      </c>
      <c r="H106" s="7" t="n">
        <f aca="false">E106*(G106-F106)*24</f>
        <v>3.3333333</v>
      </c>
      <c r="I106" s="7" t="n">
        <f aca="false">(C106-B106)*24</f>
        <v>0</v>
      </c>
      <c r="J106" s="7" t="n">
        <f aca="false">(G106-F106)*24</f>
        <v>0.033333333</v>
      </c>
    </row>
    <row r="107" customFormat="false" ht="15" hidden="false" customHeight="true" outlineLevel="0" collapsed="false">
      <c r="A107" s="24"/>
      <c r="B107" s="18"/>
      <c r="C107" s="18"/>
      <c r="D107" s="4"/>
      <c r="E107" s="4" t="n">
        <v>180</v>
      </c>
      <c r="F107" s="18" t="n">
        <f aca="false">TIME(11,15,0)</f>
        <v>0.46875</v>
      </c>
      <c r="G107" s="18" t="n">
        <f aca="false">TIME(13,15,0)</f>
        <v>0.552083333333333</v>
      </c>
      <c r="H107" s="7" t="n">
        <f aca="false">E107*(G107-F107)*24</f>
        <v>360</v>
      </c>
      <c r="I107" s="7" t="n">
        <f aca="false">(C107-B107)*24</f>
        <v>0</v>
      </c>
      <c r="J107" s="7" t="n">
        <f aca="false">(G107-F107)*24</f>
        <v>2</v>
      </c>
    </row>
    <row r="108" customFormat="false" ht="15" hidden="false" customHeight="true" outlineLevel="0" collapsed="false">
      <c r="A108" s="24" t="n">
        <v>36110</v>
      </c>
      <c r="B108" s="18" t="n">
        <f aca="false">TIME(10,3,0)</f>
        <v>0.41875</v>
      </c>
      <c r="C108" s="18" t="n">
        <f aca="false">TIME(16,20,0)</f>
        <v>0.680555555555556</v>
      </c>
      <c r="D108" s="4" t="n">
        <v>5</v>
      </c>
      <c r="E108" s="4" t="n">
        <v>0.01</v>
      </c>
      <c r="F108" s="18" t="n">
        <f aca="false">TIME(10,53,0)</f>
        <v>0.453472222222222</v>
      </c>
      <c r="G108" s="18" t="n">
        <f aca="false">TIME(10,58,0)</f>
        <v>0.456944444444444</v>
      </c>
      <c r="H108" s="7" t="n">
        <f aca="false">E108*(G108-F108)*24</f>
        <v>0.00083333333</v>
      </c>
      <c r="I108" s="7" t="n">
        <f aca="false">(C108-B108)*24</f>
        <v>6.2833333</v>
      </c>
      <c r="J108" s="7" t="n">
        <f aca="false">(G108-F108)*24</f>
        <v>0.083333333</v>
      </c>
    </row>
    <row r="109" customFormat="false" ht="15" hidden="false" customHeight="true" outlineLevel="0" collapsed="false">
      <c r="A109" s="24"/>
      <c r="B109" s="18"/>
      <c r="C109" s="18"/>
      <c r="D109" s="4"/>
      <c r="E109" s="4" t="n">
        <v>0.1</v>
      </c>
      <c r="F109" s="18" t="n">
        <f aca="false">TIME(11,6,0)</f>
        <v>0.4625</v>
      </c>
      <c r="G109" s="18" t="n">
        <f aca="false">TIME(11,32,0)</f>
        <v>0.480555555555556</v>
      </c>
      <c r="H109" s="7" t="n">
        <f aca="false">E109*(G109-F109)*24</f>
        <v>0.043333333</v>
      </c>
      <c r="I109" s="7" t="n">
        <f aca="false">(C109-B109)*24</f>
        <v>0</v>
      </c>
      <c r="J109" s="7" t="n">
        <f aca="false">(G109-F109)*24</f>
        <v>0.43333333</v>
      </c>
    </row>
    <row r="110" customFormat="false" ht="15" hidden="false" customHeight="true" outlineLevel="0" collapsed="false">
      <c r="A110" s="24"/>
      <c r="B110" s="18"/>
      <c r="C110" s="18"/>
      <c r="D110" s="4"/>
      <c r="E110" s="4" t="n">
        <v>100</v>
      </c>
      <c r="F110" s="18" t="n">
        <f aca="false">TIME(11,44,0)</f>
        <v>0.488888888888889</v>
      </c>
      <c r="G110" s="18" t="n">
        <f aca="false">TIME(11,56,0)</f>
        <v>0.497222222222222</v>
      </c>
      <c r="H110" s="7" t="n">
        <f aca="false">E110*(G110-F110)*24</f>
        <v>20</v>
      </c>
      <c r="I110" s="7" t="n">
        <f aca="false">(C110-B110)*24</f>
        <v>0</v>
      </c>
      <c r="J110" s="7" t="n">
        <f aca="false">(G110-F110)*24</f>
        <v>0.2</v>
      </c>
    </row>
    <row r="111" customFormat="false" ht="15" hidden="false" customHeight="true" outlineLevel="0" collapsed="false">
      <c r="A111" s="24"/>
      <c r="B111" s="18"/>
      <c r="C111" s="18"/>
      <c r="D111" s="4"/>
      <c r="E111" s="4" t="n">
        <v>0</v>
      </c>
      <c r="F111" s="18" t="n">
        <f aca="false">TIME(11,56,0)</f>
        <v>0.497222222222222</v>
      </c>
      <c r="G111" s="18" t="n">
        <f aca="false">TIME(13,21,0)</f>
        <v>0.55625</v>
      </c>
      <c r="H111" s="7" t="n">
        <f aca="false">E111*(G111-F111)*24</f>
        <v>0</v>
      </c>
      <c r="I111" s="7" t="n">
        <f aca="false">(C111-B111)*24</f>
        <v>0</v>
      </c>
      <c r="J111" s="7" t="n">
        <f aca="false">(G111-F111)*24</f>
        <v>1.4166667</v>
      </c>
    </row>
    <row r="112" customFormat="false" ht="15" hidden="false" customHeight="true" outlineLevel="0" collapsed="false">
      <c r="A112" s="24"/>
      <c r="B112" s="18"/>
      <c r="C112" s="18"/>
      <c r="D112" s="4"/>
      <c r="E112" s="4" t="n">
        <v>0.01</v>
      </c>
      <c r="F112" s="18" t="n">
        <f aca="false">TIME(13,32,0)</f>
        <v>0.563888888888889</v>
      </c>
      <c r="G112" s="18" t="n">
        <f aca="false">TIME(13,35,0)</f>
        <v>0.565972222222222</v>
      </c>
      <c r="H112" s="7" t="n">
        <f aca="false">E112*(G112-F112)*24</f>
        <v>0.0005</v>
      </c>
      <c r="I112" s="7" t="n">
        <f aca="false">(C112-B112)*24</f>
        <v>0</v>
      </c>
      <c r="J112" s="7" t="n">
        <f aca="false">(G112-F112)*24</f>
        <v>0.05</v>
      </c>
    </row>
    <row r="113" customFormat="false" ht="15" hidden="false" customHeight="true" outlineLevel="0" collapsed="false">
      <c r="A113" s="24"/>
      <c r="B113" s="18"/>
      <c r="C113" s="18"/>
      <c r="D113" s="4"/>
      <c r="E113" s="4" t="n">
        <v>0.5</v>
      </c>
      <c r="F113" s="18" t="n">
        <f aca="false">TIME(13,41,0)</f>
        <v>0.570138888888889</v>
      </c>
      <c r="G113" s="18" t="n">
        <f aca="false">TIME(14,50,0)</f>
        <v>0.618055555555556</v>
      </c>
      <c r="H113" s="7" t="n">
        <f aca="false">E113*(G113-F113)*24</f>
        <v>0.575</v>
      </c>
      <c r="I113" s="7" t="n">
        <f aca="false">(C113-B113)*24</f>
        <v>0</v>
      </c>
      <c r="J113" s="7" t="n">
        <f aca="false">(G113-F113)*24</f>
        <v>1.15</v>
      </c>
    </row>
    <row r="114" customFormat="false" ht="15" hidden="false" customHeight="true" outlineLevel="0" collapsed="false">
      <c r="A114" s="24"/>
      <c r="B114" s="18"/>
      <c r="C114" s="18"/>
      <c r="D114" s="4"/>
      <c r="E114" s="4" t="n">
        <v>180</v>
      </c>
      <c r="F114" s="18" t="n">
        <f aca="false">TIME(14,58,0)</f>
        <v>0.623611111111111</v>
      </c>
      <c r="G114" s="18" t="n">
        <f aca="false">TIME(16,15,0)</f>
        <v>0.677083333333333</v>
      </c>
      <c r="H114" s="7" t="n">
        <f aca="false">E114*(G114-F114)*24</f>
        <v>231</v>
      </c>
      <c r="I114" s="7" t="n">
        <f aca="false">(C114-B114)*24</f>
        <v>0</v>
      </c>
      <c r="J114" s="7" t="n">
        <f aca="false">(G114-F114)*24</f>
        <v>1.2833333</v>
      </c>
    </row>
    <row r="115" customFormat="false" ht="15" hidden="false" customHeight="true" outlineLevel="0" collapsed="false">
      <c r="A115" s="24" t="n">
        <v>36111</v>
      </c>
      <c r="B115" s="18" t="n">
        <f aca="false">TIME(9,17,0)</f>
        <v>0.386805555555556</v>
      </c>
      <c r="C115" s="18" t="n">
        <f aca="false">TIME(11,22,0)</f>
        <v>0.473611111111111</v>
      </c>
      <c r="D115" s="4" t="n">
        <v>5</v>
      </c>
      <c r="E115" s="4" t="n">
        <v>0.01</v>
      </c>
      <c r="F115" s="18" t="n">
        <f aca="false">TIME(10,2,0)</f>
        <v>0.418055555555556</v>
      </c>
      <c r="G115" s="18" t="n">
        <f aca="false">TIME(10,7,0)</f>
        <v>0.421527777777778</v>
      </c>
      <c r="H115" s="7" t="n">
        <f aca="false">E115*(G115-F115)*24</f>
        <v>0.00083333333</v>
      </c>
      <c r="I115" s="7" t="n">
        <f aca="false">(C115-B115)*24</f>
        <v>2.0833333</v>
      </c>
      <c r="J115" s="7" t="n">
        <f aca="false">(G115-F115)*24</f>
        <v>0.083333333</v>
      </c>
    </row>
    <row r="116" customFormat="false" ht="15" hidden="false" customHeight="true" outlineLevel="0" collapsed="false">
      <c r="A116" s="24"/>
      <c r="B116" s="18"/>
      <c r="C116" s="18"/>
      <c r="D116" s="4"/>
      <c r="E116" s="4" t="n">
        <v>0.1</v>
      </c>
      <c r="F116" s="18" t="n">
        <f aca="false">TIME(10,13,0)</f>
        <v>0.425694444444444</v>
      </c>
      <c r="G116" s="18" t="n">
        <f aca="false">TIME(10,28,0)</f>
        <v>0.436111111111111</v>
      </c>
      <c r="H116" s="7" t="n">
        <f aca="false">E116*(G116-F116)*24</f>
        <v>0.025</v>
      </c>
      <c r="I116" s="7" t="n">
        <f aca="false">(C116-B116)*24</f>
        <v>0</v>
      </c>
      <c r="J116" s="7" t="n">
        <f aca="false">(G116-F116)*24</f>
        <v>0.25</v>
      </c>
    </row>
    <row r="117" customFormat="false" ht="15" hidden="false" customHeight="true" outlineLevel="0" collapsed="false">
      <c r="A117" s="24"/>
      <c r="B117" s="18"/>
      <c r="C117" s="18"/>
      <c r="D117" s="4"/>
      <c r="E117" s="4" t="n">
        <v>2</v>
      </c>
      <c r="F117" s="18" t="n">
        <f aca="false">TIME(10,35,0)</f>
        <v>0.440972222222222</v>
      </c>
      <c r="G117" s="18" t="n">
        <f aca="false">TIME(10,41,0)</f>
        <v>0.445138888888889</v>
      </c>
      <c r="H117" s="7" t="n">
        <f aca="false">E117*(G117-F117)*24</f>
        <v>0.2</v>
      </c>
      <c r="I117" s="7" t="n">
        <f aca="false">(C117-B117)*24</f>
        <v>0</v>
      </c>
      <c r="J117" s="7" t="n">
        <f aca="false">(G117-F117)*24</f>
        <v>0.1</v>
      </c>
    </row>
    <row r="118" customFormat="false" ht="15" hidden="false" customHeight="true" outlineLevel="0" collapsed="false">
      <c r="A118" s="24"/>
      <c r="B118" s="18"/>
      <c r="C118" s="18"/>
      <c r="D118" s="4"/>
      <c r="E118" s="4" t="n">
        <v>100</v>
      </c>
      <c r="F118" s="18" t="n">
        <f aca="false">TIME(10,53,0)</f>
        <v>0.453472222222222</v>
      </c>
      <c r="G118" s="18" t="n">
        <f aca="false">TIME(10,58,0)</f>
        <v>0.456944444444444</v>
      </c>
      <c r="H118" s="7" t="n">
        <f aca="false">E118*(G118-F118)*24</f>
        <v>8.3333333</v>
      </c>
      <c r="I118" s="7" t="n">
        <f aca="false">(C118-B118)*24</f>
        <v>0</v>
      </c>
      <c r="J118" s="7" t="n">
        <f aca="false">(G118-F118)*24</f>
        <v>0.083333333</v>
      </c>
    </row>
    <row r="119" customFormat="false" ht="15" hidden="false" customHeight="true" outlineLevel="0" collapsed="false">
      <c r="A119" s="24"/>
      <c r="B119" s="18"/>
      <c r="C119" s="18"/>
      <c r="D119" s="4"/>
      <c r="E119" s="4" t="n">
        <v>200</v>
      </c>
      <c r="F119" s="18" t="n">
        <f aca="false">TIME(11,5,0)</f>
        <v>0.461805555555556</v>
      </c>
      <c r="G119" s="18" t="n">
        <f aca="false">TIME(11,27,0)</f>
        <v>0.477083333333333</v>
      </c>
      <c r="H119" s="7" t="n">
        <f aca="false">E119*(G119-F119)*24</f>
        <v>73.333333</v>
      </c>
      <c r="I119" s="7" t="n">
        <f aca="false">(C119-B119)*24</f>
        <v>0</v>
      </c>
      <c r="J119" s="7" t="n">
        <f aca="false">(G119-F119)*24</f>
        <v>0.36666667</v>
      </c>
    </row>
    <row r="120" customFormat="false" ht="15" hidden="false" customHeight="true" outlineLevel="0" collapsed="false">
      <c r="A120" s="24" t="n">
        <v>36111</v>
      </c>
      <c r="B120" s="18" t="n">
        <f aca="false">TIME(14,37,0)</f>
        <v>0.609027777777778</v>
      </c>
      <c r="C120" s="18" t="n">
        <f aca="false">TIME(16,19,0)</f>
        <v>0.679861111111111</v>
      </c>
      <c r="D120" s="4" t="s">
        <v>39</v>
      </c>
      <c r="E120" s="4" t="n">
        <v>0.01</v>
      </c>
      <c r="F120" s="18" t="n">
        <f aca="false">TIME(16,6,0)</f>
        <v>0.670833333333333</v>
      </c>
      <c r="G120" s="18" t="n">
        <f aca="false">TIME(16,14,0)</f>
        <v>0.676388888888889</v>
      </c>
      <c r="H120" s="7" t="n">
        <f aca="false">E120*(G120-F120)*24</f>
        <v>0.0013333333</v>
      </c>
      <c r="I120" s="7" t="n">
        <f aca="false">(C120-B120)*24</f>
        <v>1.7</v>
      </c>
      <c r="J120" s="7" t="n">
        <f aca="false">(G120-F120)*24</f>
        <v>0.13333333</v>
      </c>
    </row>
    <row r="121" customFormat="false" ht="15" hidden="false" customHeight="true" outlineLevel="0" collapsed="false">
      <c r="A121" s="24" t="n">
        <v>36117</v>
      </c>
      <c r="B121" s="18" t="n">
        <f aca="false">TIME(9,4,0)</f>
        <v>0.377777777777778</v>
      </c>
      <c r="C121" s="18" t="n">
        <f aca="false">TIME(11,3,0)</f>
        <v>0.460416666666667</v>
      </c>
      <c r="D121" s="4" t="n">
        <v>5</v>
      </c>
      <c r="E121" s="4" t="n">
        <v>0.012</v>
      </c>
      <c r="F121" s="18" t="n">
        <f aca="false">TIME(9,54,0)</f>
        <v>0.4125</v>
      </c>
      <c r="G121" s="18" t="n">
        <f aca="false">TIME(9,57,0)</f>
        <v>0.414583333333333</v>
      </c>
      <c r="H121" s="7" t="n">
        <f aca="false">E121*(G121-F121)*24</f>
        <v>0.0006</v>
      </c>
      <c r="I121" s="7" t="n">
        <f aca="false">(C121-B121)*24</f>
        <v>1.9833333</v>
      </c>
      <c r="J121" s="7" t="n">
        <f aca="false">(G121-F121)*24</f>
        <v>0.05</v>
      </c>
    </row>
    <row r="122" customFormat="false" ht="15" hidden="false" customHeight="true" outlineLevel="0" collapsed="false">
      <c r="A122" s="4"/>
      <c r="B122" s="18"/>
      <c r="C122" s="18"/>
      <c r="D122" s="4"/>
      <c r="E122" s="4" t="n">
        <v>0.1</v>
      </c>
      <c r="F122" s="18" t="n">
        <f aca="false">TIME(10,11,0)</f>
        <v>0.424305555555556</v>
      </c>
      <c r="G122" s="18" t="n">
        <f aca="false">TIME(10,58,0)</f>
        <v>0.456944444444444</v>
      </c>
      <c r="H122" s="7" t="n">
        <f aca="false">E122*(G122-F122)*24</f>
        <v>0.078333333</v>
      </c>
      <c r="I122" s="7" t="n">
        <f aca="false">(C122-B122)*24</f>
        <v>0</v>
      </c>
      <c r="J122" s="7" t="n">
        <f aca="false">(G122-F122)*24</f>
        <v>0.78333333</v>
      </c>
    </row>
    <row r="123" customFormat="false" ht="15" hidden="false" customHeight="true" outlineLevel="0" collapsed="false">
      <c r="A123" s="24" t="n">
        <v>36117</v>
      </c>
      <c r="B123" s="18" t="n">
        <f aca="false">TIME(12,50,0)</f>
        <v>0.534722222222222</v>
      </c>
      <c r="C123" s="18" t="n">
        <f aca="false">TIME(14,52,0)</f>
        <v>0.619444444444445</v>
      </c>
      <c r="D123" s="4" t="s">
        <v>40</v>
      </c>
      <c r="E123" s="4" t="n">
        <v>0.01</v>
      </c>
      <c r="F123" s="18" t="n">
        <f aca="false">TIME(13,36,0)</f>
        <v>0.566666666666667</v>
      </c>
      <c r="G123" s="18" t="n">
        <f aca="false">TIME(13,39,0)</f>
        <v>0.56875</v>
      </c>
      <c r="H123" s="7" t="n">
        <f aca="false">E123*(G123-F123)*24</f>
        <v>0.0005</v>
      </c>
      <c r="I123" s="7" t="n">
        <f aca="false">(C123-B123)*24</f>
        <v>2.0333333</v>
      </c>
      <c r="J123" s="7" t="n">
        <f aca="false">(G123-F123)*24</f>
        <v>0.05</v>
      </c>
    </row>
    <row r="124" customFormat="false" ht="15" hidden="false" customHeight="true" outlineLevel="0" collapsed="false">
      <c r="A124" s="24"/>
      <c r="B124" s="18"/>
      <c r="C124" s="18"/>
      <c r="D124" s="4"/>
      <c r="E124" s="4" t="n">
        <v>0.2</v>
      </c>
      <c r="F124" s="18" t="n">
        <f aca="false">TIME(13,46,0)</f>
        <v>0.573611111111111</v>
      </c>
      <c r="G124" s="18" t="n">
        <f aca="false">TIME(14,47,0)</f>
        <v>0.615972222222222</v>
      </c>
      <c r="H124" s="7" t="n">
        <f aca="false">E124*(G124-F124)*24</f>
        <v>0.20333333</v>
      </c>
      <c r="I124" s="7" t="n">
        <f aca="false">(C124-B124)*24</f>
        <v>0</v>
      </c>
      <c r="J124" s="7" t="n">
        <f aca="false">(G124-F124)*24</f>
        <v>1.0166667</v>
      </c>
    </row>
    <row r="125" customFormat="false" ht="15" hidden="false" customHeight="true" outlineLevel="0" collapsed="false">
      <c r="A125" s="24" t="n">
        <v>36118</v>
      </c>
      <c r="B125" s="18" t="n">
        <f aca="false">TIME(12,34,0)</f>
        <v>0.523611111111111</v>
      </c>
      <c r="C125" s="18" t="n">
        <f aca="false">TIME(15,35,0)</f>
        <v>0.649305555555556</v>
      </c>
      <c r="D125" s="4" t="s">
        <v>39</v>
      </c>
      <c r="E125" s="4" t="n">
        <v>0.01</v>
      </c>
      <c r="F125" s="18" t="n">
        <f aca="false">TIME(13,33,0)</f>
        <v>0.564583333333333</v>
      </c>
      <c r="G125" s="18" t="n">
        <f aca="false">TIME(13,42,0)</f>
        <v>0.570833333333333</v>
      </c>
      <c r="H125" s="7" t="n">
        <f aca="false">E125*(G125-F125)*24</f>
        <v>0.0015</v>
      </c>
      <c r="I125" s="7" t="n">
        <f aca="false">(C125-B125)*24</f>
        <v>3.0166667</v>
      </c>
      <c r="J125" s="7" t="n">
        <f aca="false">(G125-F125)*24</f>
        <v>0.15</v>
      </c>
    </row>
    <row r="126" customFormat="false" ht="15" hidden="false" customHeight="true" outlineLevel="0" collapsed="false">
      <c r="A126" s="24"/>
      <c r="B126" s="18"/>
      <c r="C126" s="18"/>
      <c r="D126" s="4"/>
      <c r="E126" s="4" t="n">
        <v>0.1</v>
      </c>
      <c r="F126" s="18" t="n">
        <f aca="false">TIME(13,47,0)</f>
        <v>0.574305555555556</v>
      </c>
      <c r="G126" s="18" t="n">
        <f aca="false">TIME(13,51,0)</f>
        <v>0.577083333333333</v>
      </c>
      <c r="H126" s="7" t="n">
        <f aca="false">E126*(G126-F126)*24</f>
        <v>0.0066666667</v>
      </c>
      <c r="I126" s="7" t="n">
        <f aca="false">(C126-B126)*24</f>
        <v>0</v>
      </c>
      <c r="J126" s="7" t="n">
        <f aca="false">(G126-F126)*24</f>
        <v>0.066666667</v>
      </c>
    </row>
    <row r="127" customFormat="false" ht="15" hidden="false" customHeight="true" outlineLevel="0" collapsed="false">
      <c r="A127" s="24"/>
      <c r="B127" s="18"/>
      <c r="C127" s="18"/>
      <c r="D127" s="4"/>
      <c r="E127" s="4" t="n">
        <v>0</v>
      </c>
      <c r="F127" s="18" t="n">
        <f aca="false">TIME(13,51,0)</f>
        <v>0.577083333333333</v>
      </c>
      <c r="G127" s="18" t="n">
        <f aca="false">TIME(14,33,0)</f>
        <v>0.60625</v>
      </c>
      <c r="H127" s="7" t="n">
        <f aca="false">E127*(G127-F127)*24</f>
        <v>0</v>
      </c>
      <c r="I127" s="7" t="n">
        <f aca="false">(C127-B127)*24</f>
        <v>0</v>
      </c>
      <c r="J127" s="7" t="n">
        <f aca="false">(G127-F127)*24</f>
        <v>0.7</v>
      </c>
    </row>
    <row r="128" customFormat="false" ht="15" hidden="false" customHeight="true" outlineLevel="0" collapsed="false">
      <c r="A128" s="24"/>
      <c r="B128" s="18"/>
      <c r="C128" s="18"/>
      <c r="D128" s="4"/>
      <c r="E128" s="4" t="n">
        <v>0.01</v>
      </c>
      <c r="F128" s="18" t="n">
        <f aca="false">TIME(15,0,0)</f>
        <v>0.625</v>
      </c>
      <c r="G128" s="18" t="n">
        <f aca="false">TIME(15,5,0)</f>
        <v>0.628472222222222</v>
      </c>
      <c r="H128" s="7" t="n">
        <f aca="false">E128*(G128-F128)*24</f>
        <v>0.00083333333</v>
      </c>
      <c r="I128" s="7" t="n">
        <f aca="false">(C128-B128)*24</f>
        <v>0</v>
      </c>
      <c r="J128" s="7" t="n">
        <f aca="false">(G128-F128)*24</f>
        <v>0.083333333</v>
      </c>
    </row>
    <row r="129" customFormat="false" ht="15" hidden="false" customHeight="true" outlineLevel="0" collapsed="false">
      <c r="A129" s="24"/>
      <c r="B129" s="18"/>
      <c r="C129" s="18"/>
      <c r="D129" s="4"/>
      <c r="E129" s="4" t="n">
        <v>0.1</v>
      </c>
      <c r="F129" s="18" t="n">
        <f aca="false">TIME(15,13,0)</f>
        <v>0.634027777777778</v>
      </c>
      <c r="G129" s="18" t="n">
        <f aca="false">TIME(15,17,0)</f>
        <v>0.636805555555556</v>
      </c>
      <c r="H129" s="7" t="n">
        <f aca="false">E129*(G129-F129)*24</f>
        <v>0.0066666667</v>
      </c>
      <c r="I129" s="7" t="n">
        <f aca="false">(C129-B129)*24</f>
        <v>0</v>
      </c>
      <c r="J129" s="7" t="n">
        <f aca="false">(G129-F129)*24</f>
        <v>0.066666667</v>
      </c>
    </row>
    <row r="130" customFormat="false" ht="15" hidden="false" customHeight="true" outlineLevel="0" collapsed="false">
      <c r="A130" s="24"/>
      <c r="B130" s="18"/>
      <c r="C130" s="18"/>
      <c r="D130" s="4"/>
      <c r="E130" s="4" t="n">
        <v>0.01</v>
      </c>
      <c r="F130" s="18" t="n">
        <f aca="false">TIME(15,26,0)</f>
        <v>0.643055555555556</v>
      </c>
      <c r="G130" s="18" t="n">
        <f aca="false">TIME(15,30,0)</f>
        <v>0.645833333333333</v>
      </c>
      <c r="H130" s="7" t="n">
        <f aca="false">E130*(G130-F130)*24</f>
        <v>0.00066666667</v>
      </c>
      <c r="I130" s="7" t="n">
        <f aca="false">(C130-B130)*24</f>
        <v>0</v>
      </c>
      <c r="J130" s="7" t="n">
        <f aca="false">(G130-F130)*24</f>
        <v>0.066666667</v>
      </c>
    </row>
    <row r="131" customFormat="false" ht="15" hidden="false" customHeight="true" outlineLevel="0" collapsed="false">
      <c r="A131" s="24" t="n">
        <v>36123</v>
      </c>
      <c r="B131" s="18" t="n">
        <f aca="false">TIME(10,33,0)</f>
        <v>0.439583333333333</v>
      </c>
      <c r="C131" s="18" t="n">
        <f aca="false">TIME(12,29,0)</f>
        <v>0.520138888888889</v>
      </c>
      <c r="D131" s="4" t="s">
        <v>45</v>
      </c>
      <c r="E131" s="4" t="n">
        <v>0.01</v>
      </c>
      <c r="F131" s="18" t="n">
        <f aca="false">TIME(11,5,0)</f>
        <v>0.461805555555556</v>
      </c>
      <c r="G131" s="18" t="n">
        <f aca="false">TIME(11,7,0)</f>
        <v>0.463194444444444</v>
      </c>
      <c r="H131" s="7" t="n">
        <f aca="false">E131*(G131-F131)*24</f>
        <v>0.00033333333</v>
      </c>
      <c r="I131" s="7" t="n">
        <f aca="false">(C131-B131)*24</f>
        <v>1.9333333</v>
      </c>
      <c r="J131" s="7" t="n">
        <f aca="false">(G131-F131)*24</f>
        <v>0.033333333</v>
      </c>
    </row>
    <row r="132" customFormat="false" ht="15" hidden="false" customHeight="true" outlineLevel="0" collapsed="false">
      <c r="A132" s="4"/>
      <c r="B132" s="18"/>
      <c r="C132" s="18"/>
      <c r="D132" s="4"/>
      <c r="E132" s="4" t="n">
        <v>100</v>
      </c>
      <c r="F132" s="18" t="n">
        <f aca="false">TIME(11,18,0)</f>
        <v>0.470833333333333</v>
      </c>
      <c r="G132" s="18" t="n">
        <f aca="false">TIME(11,20,0)</f>
        <v>0.472222222222222</v>
      </c>
      <c r="H132" s="7" t="n">
        <f aca="false">E132*(G132-F132)*24</f>
        <v>3.3333333</v>
      </c>
      <c r="I132" s="7" t="n">
        <f aca="false">(C132-B132)*24</f>
        <v>0</v>
      </c>
      <c r="J132" s="7" t="n">
        <f aca="false">(G132-F132)*24</f>
        <v>0.033333333</v>
      </c>
    </row>
    <row r="133" customFormat="false" ht="15" hidden="false" customHeight="true" outlineLevel="0" collapsed="false">
      <c r="A133" s="24"/>
      <c r="B133" s="18"/>
      <c r="C133" s="18"/>
      <c r="D133" s="4"/>
      <c r="E133" s="4" t="n">
        <v>180</v>
      </c>
      <c r="F133" s="18" t="n">
        <f aca="false">TIME(11,23,0)</f>
        <v>0.474305555555556</v>
      </c>
      <c r="G133" s="18" t="n">
        <f aca="false">TIME(12,24,0)</f>
        <v>0.516666666666667</v>
      </c>
      <c r="H133" s="7" t="n">
        <f aca="false">E133*(G133-F133)*24</f>
        <v>183</v>
      </c>
      <c r="I133" s="7" t="n">
        <f aca="false">(C133-B133)*24</f>
        <v>0</v>
      </c>
      <c r="J133" s="7" t="n">
        <f aca="false">(G133-F133)*24</f>
        <v>1.0166667</v>
      </c>
    </row>
    <row r="134" customFormat="false" ht="15" hidden="false" customHeight="true" outlineLevel="0" collapsed="false">
      <c r="A134" s="24" t="n">
        <v>36130</v>
      </c>
      <c r="B134" s="18" t="n">
        <f aca="false">TIME(8,24,0)</f>
        <v>0.35</v>
      </c>
      <c r="C134" s="18" t="n">
        <f aca="false">TIME(9,34,0)</f>
        <v>0.398611111111111</v>
      </c>
      <c r="D134" s="4" t="n">
        <v>5</v>
      </c>
      <c r="E134" s="4" t="n">
        <v>0.01</v>
      </c>
      <c r="F134" s="18" t="n">
        <f aca="false">TIME(9,2,0)</f>
        <v>0.376388888888889</v>
      </c>
      <c r="G134" s="18" t="n">
        <f aca="false">TIME(9,5,0)</f>
        <v>0.378472222222222</v>
      </c>
      <c r="H134" s="7" t="n">
        <f aca="false">E134*(G134-F134)*24</f>
        <v>0.0005</v>
      </c>
      <c r="I134" s="7" t="n">
        <f aca="false">(C134-B134)*24</f>
        <v>1.1666667</v>
      </c>
      <c r="J134" s="7" t="n">
        <f aca="false">(G134-F134)*24</f>
        <v>0.05</v>
      </c>
    </row>
    <row r="135" customFormat="false" ht="15" hidden="false" customHeight="true" outlineLevel="0" collapsed="false">
      <c r="A135" s="4"/>
      <c r="B135" s="5"/>
      <c r="C135" s="5"/>
      <c r="D135" s="4"/>
      <c r="E135" s="4" t="n">
        <v>2</v>
      </c>
      <c r="F135" s="18" t="n">
        <f aca="false">TIME(9,14,0)</f>
        <v>0.384722222222222</v>
      </c>
      <c r="G135" s="18" t="n">
        <f aca="false">TIME(9,20,0)</f>
        <v>0.388888888888889</v>
      </c>
      <c r="H135" s="7" t="n">
        <f aca="false">E135*(G135-F135)*24</f>
        <v>0.2</v>
      </c>
      <c r="I135" s="7" t="n">
        <f aca="false">(C135-B135)*24</f>
        <v>0</v>
      </c>
      <c r="J135" s="7" t="n">
        <f aca="false">(G135-F135)*24</f>
        <v>0.1</v>
      </c>
    </row>
    <row r="136" customFormat="false" ht="15" hidden="false" customHeight="true" outlineLevel="0" collapsed="false">
      <c r="A136" s="24"/>
      <c r="B136" s="18"/>
      <c r="C136" s="18"/>
      <c r="D136" s="4"/>
      <c r="E136" s="4" t="n">
        <v>100</v>
      </c>
      <c r="F136" s="18" t="n">
        <f aca="false">TIME(9,24,0)</f>
        <v>0.391666666666667</v>
      </c>
      <c r="G136" s="18" t="n">
        <f aca="false">TIME(9,29,0)</f>
        <v>0.395138888888889</v>
      </c>
      <c r="H136" s="7" t="n">
        <f aca="false">E136*(G136-F136)*24</f>
        <v>8.3333333</v>
      </c>
      <c r="I136" s="7" t="n">
        <f aca="false">(C136-B136)*24</f>
        <v>0</v>
      </c>
      <c r="J136" s="7" t="n">
        <f aca="false">(G136-F136)*24</f>
        <v>0.083333333</v>
      </c>
    </row>
    <row r="137" customFormat="false" ht="15" hidden="false" customHeight="true" outlineLevel="0" collapsed="false">
      <c r="A137" s="24" t="n">
        <v>36130</v>
      </c>
      <c r="B137" s="18" t="n">
        <f aca="false">TIME(13,4,0)</f>
        <v>0.544444444444444</v>
      </c>
      <c r="C137" s="18" t="n">
        <f aca="false">TIME(16,33,0)</f>
        <v>0.689583333333333</v>
      </c>
      <c r="D137" s="4" t="n">
        <v>5</v>
      </c>
      <c r="E137" s="4" t="n">
        <v>0.01</v>
      </c>
      <c r="F137" s="18" t="n">
        <f aca="false">TIME(13,49,0)</f>
        <v>0.575694444444444</v>
      </c>
      <c r="G137" s="18" t="n">
        <f aca="false">TIME(13,51,0)</f>
        <v>0.577083333333333</v>
      </c>
      <c r="H137" s="7" t="n">
        <f aca="false">E137*(G137-F137)*24</f>
        <v>0.00033333333</v>
      </c>
      <c r="I137" s="7" t="n">
        <f aca="false">(C137-B137)*24</f>
        <v>3.4833333</v>
      </c>
      <c r="J137" s="7" t="n">
        <f aca="false">(G137-F137)*24</f>
        <v>0.033333333</v>
      </c>
    </row>
    <row r="138" customFormat="false" ht="15" hidden="false" customHeight="true" outlineLevel="0" collapsed="false">
      <c r="A138" s="24"/>
      <c r="B138" s="5"/>
      <c r="C138" s="5"/>
      <c r="D138" s="4"/>
      <c r="E138" s="4" t="n">
        <v>100</v>
      </c>
      <c r="F138" s="18" t="n">
        <f aca="false">TIME(14,4,0)</f>
        <v>0.586111111111111</v>
      </c>
      <c r="G138" s="18" t="n">
        <f aca="false">TIME(14,11,0)</f>
        <v>0.590972222222222</v>
      </c>
      <c r="H138" s="7" t="n">
        <f aca="false">E138*(G138-F138)*24</f>
        <v>11.666667</v>
      </c>
      <c r="I138" s="7" t="n">
        <f aca="false">(C138-B138)*24</f>
        <v>0</v>
      </c>
      <c r="J138" s="7" t="n">
        <f aca="false">(G138-F138)*24</f>
        <v>0.11666667</v>
      </c>
    </row>
    <row r="139" customFormat="false" ht="15" hidden="false" customHeight="true" outlineLevel="0" collapsed="false">
      <c r="A139" s="4"/>
      <c r="B139" s="5"/>
      <c r="C139" s="5"/>
      <c r="D139" s="4"/>
      <c r="E139" s="4" t="n">
        <v>200</v>
      </c>
      <c r="F139" s="18" t="n">
        <f aca="false">TIME(14,16,0)</f>
        <v>0.594444444444444</v>
      </c>
      <c r="G139" s="18" t="n">
        <f aca="false">TIME(14,19,0)</f>
        <v>0.596527777777778</v>
      </c>
      <c r="H139" s="7" t="n">
        <f aca="false">E139*(G139-F139)*24</f>
        <v>10</v>
      </c>
      <c r="I139" s="7" t="n">
        <f aca="false">(C139-B139)*24</f>
        <v>0</v>
      </c>
      <c r="J139" s="7" t="n">
        <f aca="false">(G139-F139)*24</f>
        <v>0.05</v>
      </c>
    </row>
    <row r="140" customFormat="false" ht="15" hidden="false" customHeight="true" outlineLevel="0" collapsed="false">
      <c r="A140" s="24"/>
      <c r="B140" s="5"/>
      <c r="C140" s="5"/>
      <c r="D140" s="4"/>
      <c r="E140" s="4" t="n">
        <v>2</v>
      </c>
      <c r="F140" s="18" t="n">
        <f aca="false">TIME(14,28,0)</f>
        <v>0.602777777777778</v>
      </c>
      <c r="G140" s="18" t="n">
        <f aca="false">TIME(14,51,0)</f>
        <v>0.61875</v>
      </c>
      <c r="H140" s="7" t="n">
        <f aca="false">E140*(G140-F140)*24</f>
        <v>0.76666667</v>
      </c>
      <c r="I140" s="7" t="n">
        <f aca="false">(C140-B140)*24</f>
        <v>0</v>
      </c>
      <c r="J140" s="7" t="n">
        <f aca="false">(G140-F140)*24</f>
        <v>0.38333333</v>
      </c>
    </row>
    <row r="141" customFormat="false" ht="15" hidden="false" customHeight="true" outlineLevel="0" collapsed="false">
      <c r="A141" s="24"/>
      <c r="B141" s="5"/>
      <c r="C141" s="5"/>
      <c r="D141" s="4"/>
      <c r="E141" s="4" t="n">
        <v>1</v>
      </c>
      <c r="F141" s="18" t="n">
        <f aca="false">TIME(14,54,0)</f>
        <v>0.620833333333333</v>
      </c>
      <c r="G141" s="18" t="n">
        <f aca="false">TIME(15,15,0)</f>
        <v>0.635416666666667</v>
      </c>
      <c r="H141" s="7" t="n">
        <f aca="false">E141*(G141-F141)*24</f>
        <v>0.35</v>
      </c>
      <c r="I141" s="7" t="n">
        <f aca="false">(C141-B141)*24</f>
        <v>0</v>
      </c>
      <c r="J141" s="7" t="n">
        <f aca="false">(G141-F141)*24</f>
        <v>0.35</v>
      </c>
    </row>
    <row r="142" customFormat="false" ht="15" hidden="false" customHeight="true" outlineLevel="0" collapsed="false">
      <c r="A142" s="24"/>
      <c r="B142" s="18"/>
      <c r="C142" s="18"/>
      <c r="D142" s="4"/>
      <c r="E142" s="4" t="n">
        <v>20</v>
      </c>
      <c r="F142" s="18" t="n">
        <f aca="false">TIME(15,21,0)</f>
        <v>0.639583333333333</v>
      </c>
      <c r="G142" s="18" t="n">
        <f aca="false">TIME(16,28,0)</f>
        <v>0.686111111111111</v>
      </c>
      <c r="H142" s="7" t="n">
        <f aca="false">E142*(G142-F142)*24</f>
        <v>22.333333</v>
      </c>
      <c r="I142" s="7" t="n">
        <f aca="false">(C142-B142)*24</f>
        <v>0</v>
      </c>
      <c r="J142" s="7" t="n">
        <f aca="false">(G142-F142)*24</f>
        <v>1.1166667</v>
      </c>
    </row>
    <row r="143" customFormat="false" ht="15" hidden="false" customHeight="true" outlineLevel="0" collapsed="false">
      <c r="A143" s="24" t="n">
        <v>36131</v>
      </c>
      <c r="B143" s="18" t="n">
        <f aca="false">TIME(9,24,0)</f>
        <v>0.391666666666667</v>
      </c>
      <c r="C143" s="18" t="n">
        <f aca="false">TIME(14,59,0)</f>
        <v>0.624305555555556</v>
      </c>
      <c r="D143" s="4" t="n">
        <v>2</v>
      </c>
      <c r="E143" s="4" t="n">
        <v>0.01</v>
      </c>
      <c r="F143" s="18" t="n">
        <f aca="false">TIME(10,8,0)</f>
        <v>0.422222222222222</v>
      </c>
      <c r="G143" s="18" t="n">
        <f aca="false">TIME(10,10,0)</f>
        <v>0.423611111111111</v>
      </c>
      <c r="H143" s="7" t="n">
        <f aca="false">E143*(G143-F143)*24</f>
        <v>0.00033333333</v>
      </c>
      <c r="I143" s="7" t="n">
        <f aca="false">(C143-B143)*24</f>
        <v>5.5833333</v>
      </c>
      <c r="J143" s="7" t="n">
        <f aca="false">(G143-F143)*24</f>
        <v>0.033333333</v>
      </c>
    </row>
    <row r="144" customFormat="false" ht="15" hidden="false" customHeight="true" outlineLevel="0" collapsed="false">
      <c r="A144" s="24"/>
      <c r="B144" s="5"/>
      <c r="C144" s="5"/>
      <c r="D144" s="4"/>
      <c r="E144" s="4" t="n">
        <v>100</v>
      </c>
      <c r="F144" s="18" t="n">
        <f aca="false">TIME(10,21,0)</f>
        <v>0.43125</v>
      </c>
      <c r="G144" s="18" t="n">
        <f aca="false">TIME(10,26,0)</f>
        <v>0.434722222222222</v>
      </c>
      <c r="H144" s="7" t="n">
        <f aca="false">E144*(G144-F144)*24</f>
        <v>8.3333333</v>
      </c>
      <c r="I144" s="7" t="n">
        <f aca="false">(C144-B144)*24</f>
        <v>0</v>
      </c>
      <c r="J144" s="7" t="n">
        <f aca="false">(G144-F144)*24</f>
        <v>0.083333333</v>
      </c>
    </row>
    <row r="145" customFormat="false" ht="15" hidden="false" customHeight="true" outlineLevel="0" collapsed="false">
      <c r="A145" s="24"/>
      <c r="B145" s="18"/>
      <c r="C145" s="18"/>
      <c r="D145" s="4"/>
      <c r="E145" s="4" t="n">
        <v>200</v>
      </c>
      <c r="F145" s="18" t="n">
        <f aca="false">TIME(10,29,0)</f>
        <v>0.436805555555556</v>
      </c>
      <c r="G145" s="18" t="n">
        <f aca="false">TIME(10,37,0)</f>
        <v>0.442361111111111</v>
      </c>
      <c r="H145" s="7" t="n">
        <f aca="false">E145*(G145-F145)*24</f>
        <v>26.666667</v>
      </c>
      <c r="I145" s="7" t="n">
        <f aca="false">(C145-B145)*24</f>
        <v>0</v>
      </c>
      <c r="J145" s="7" t="n">
        <f aca="false">(G145-F145)*24</f>
        <v>0.13333333</v>
      </c>
    </row>
    <row r="146" customFormat="false" ht="15" hidden="false" customHeight="true" outlineLevel="0" collapsed="false">
      <c r="A146" s="24"/>
      <c r="B146" s="18"/>
      <c r="C146" s="18"/>
      <c r="D146" s="4"/>
      <c r="E146" s="4" t="n">
        <v>0</v>
      </c>
      <c r="F146" s="18" t="n">
        <f aca="false">TIME(10,37,0)</f>
        <v>0.442361111111111</v>
      </c>
      <c r="G146" s="18" t="n">
        <f aca="false">TIME(14,27,0)</f>
        <v>0.602083333333333</v>
      </c>
      <c r="H146" s="7" t="n">
        <f aca="false">E146*(G146-F146)*24</f>
        <v>0</v>
      </c>
      <c r="I146" s="7" t="n">
        <f aca="false">(C146-B146)*24</f>
        <v>0</v>
      </c>
      <c r="J146" s="7" t="n">
        <f aca="false">(G146-F146)*24</f>
        <v>3.8333333</v>
      </c>
    </row>
    <row r="147" customFormat="false" ht="15" hidden="false" customHeight="true" outlineLevel="0" collapsed="false">
      <c r="A147" s="24"/>
      <c r="B147" s="5"/>
      <c r="C147" s="5"/>
      <c r="D147" s="4"/>
      <c r="E147" s="4" t="n">
        <v>0.02</v>
      </c>
      <c r="F147" s="18" t="n">
        <f aca="false">TIME(14,39,0)</f>
        <v>0.610416666666667</v>
      </c>
      <c r="G147" s="18" t="n">
        <f aca="false">TIME(14,54,0)</f>
        <v>0.620833333333333</v>
      </c>
      <c r="H147" s="7" t="n">
        <f aca="false">E147*(G147-F147)*24</f>
        <v>0.005</v>
      </c>
      <c r="I147" s="7" t="n">
        <f aca="false">(C147-B147)*24</f>
        <v>0</v>
      </c>
      <c r="J147" s="7" t="n">
        <f aca="false">(G147-F147)*24</f>
        <v>0.25</v>
      </c>
    </row>
    <row r="148" customFormat="false" ht="15" hidden="false" customHeight="true" outlineLevel="0" collapsed="false">
      <c r="A148" s="24" t="n">
        <v>36132</v>
      </c>
      <c r="B148" s="5" t="n">
        <f aca="false">TIME(9,1,0)</f>
        <v>0.375694444444444</v>
      </c>
      <c r="C148" s="5" t="n">
        <f aca="false">TIME(10,45,0)</f>
        <v>0.447916666666667</v>
      </c>
      <c r="D148" s="4" t="n">
        <v>5</v>
      </c>
      <c r="E148" s="4" t="n">
        <v>0.01</v>
      </c>
      <c r="F148" s="18" t="n">
        <f aca="false">TIME(9,56,0)</f>
        <v>0.413888888888889</v>
      </c>
      <c r="G148" s="18" t="n">
        <f aca="false">TIME(9,58,0)</f>
        <v>0.415277777777778</v>
      </c>
      <c r="H148" s="7" t="n">
        <f aca="false">E148*(G148-F148)*24</f>
        <v>0.00033333333</v>
      </c>
      <c r="I148" s="7" t="n">
        <f aca="false">(C148-B148)*24</f>
        <v>1.7333333</v>
      </c>
      <c r="J148" s="7" t="n">
        <f aca="false">(G148-F148)*24</f>
        <v>0.033333333</v>
      </c>
    </row>
    <row r="149" customFormat="false" ht="15" hidden="false" customHeight="true" outlineLevel="0" collapsed="false">
      <c r="A149" s="24"/>
      <c r="B149" s="18"/>
      <c r="C149" s="18"/>
      <c r="D149" s="4"/>
      <c r="E149" s="4" t="n">
        <v>0.1</v>
      </c>
      <c r="F149" s="18" t="n">
        <f aca="false">TIME(10,2,0)</f>
        <v>0.418055555555556</v>
      </c>
      <c r="G149" s="18" t="n">
        <f aca="false">TIME(10,11,0)</f>
        <v>0.424305555555556</v>
      </c>
      <c r="H149" s="7" t="n">
        <f aca="false">E149*(G149-F149)*24</f>
        <v>0.015</v>
      </c>
      <c r="I149" s="7" t="n">
        <f aca="false">(C149-B149)*24</f>
        <v>0</v>
      </c>
      <c r="J149" s="7" t="n">
        <f aca="false">(G149-F149)*24</f>
        <v>0.15</v>
      </c>
    </row>
    <row r="150" customFormat="false" ht="15" hidden="false" customHeight="true" outlineLevel="0" collapsed="false">
      <c r="A150" s="24"/>
      <c r="B150" s="5"/>
      <c r="C150" s="5"/>
      <c r="D150" s="4"/>
      <c r="E150" s="4" t="n">
        <v>100</v>
      </c>
      <c r="F150" s="18" t="n">
        <f aca="false">TIME(10,20,0)</f>
        <v>0.430555555555556</v>
      </c>
      <c r="G150" s="18" t="n">
        <f aca="false">TIME(10,30,0)</f>
        <v>0.4375</v>
      </c>
      <c r="H150" s="7" t="n">
        <f aca="false">E150*(G150-F150)*24</f>
        <v>16.666667</v>
      </c>
      <c r="I150" s="7" t="n">
        <f aca="false">(C150-B150)*24</f>
        <v>0</v>
      </c>
      <c r="J150" s="7" t="n">
        <f aca="false">(G150-F150)*24</f>
        <v>0.16666667</v>
      </c>
    </row>
    <row r="151" customFormat="false" ht="15" hidden="false" customHeight="true" outlineLevel="0" collapsed="false">
      <c r="A151" s="24"/>
      <c r="B151" s="18"/>
      <c r="C151" s="18"/>
      <c r="D151" s="4"/>
      <c r="E151" s="4" t="n">
        <v>200</v>
      </c>
      <c r="F151" s="18" t="n">
        <f aca="false">TIME(10,32,0)</f>
        <v>0.438888888888889</v>
      </c>
      <c r="G151" s="18" t="n">
        <f aca="false">TIME(10,40,0)</f>
        <v>0.444444444444444</v>
      </c>
      <c r="H151" s="7" t="n">
        <f aca="false">E151*(G151-F151)*24</f>
        <v>26.666667</v>
      </c>
      <c r="I151" s="7" t="n">
        <f aca="false">(C151-B151)*24</f>
        <v>0</v>
      </c>
      <c r="J151" s="7" t="n">
        <f aca="false">(G151-F151)*24</f>
        <v>0.13333333</v>
      </c>
    </row>
    <row r="152" customFormat="false" ht="15" hidden="false" customHeight="true" outlineLevel="0" collapsed="false">
      <c r="A152" s="24" t="n">
        <v>36132</v>
      </c>
      <c r="B152" s="18" t="n">
        <f aca="false">TIME(12,39,0)</f>
        <v>0.527083333333333</v>
      </c>
      <c r="C152" s="18" t="n">
        <f aca="false">TIME(16,25,0)</f>
        <v>0.684027777777778</v>
      </c>
      <c r="D152" s="4" t="s">
        <v>39</v>
      </c>
      <c r="E152" s="4" t="n">
        <v>0.01</v>
      </c>
      <c r="F152" s="18" t="n">
        <f aca="false">TIME(13,39,0)</f>
        <v>0.56875</v>
      </c>
      <c r="G152" s="18" t="n">
        <f aca="false">TIME(13,43,0)</f>
        <v>0.571527777777778</v>
      </c>
      <c r="H152" s="7" t="n">
        <f aca="false">E152*(G152-F152)*24</f>
        <v>0.00066666667</v>
      </c>
      <c r="I152" s="7" t="n">
        <f aca="false">(C152-B152)*24</f>
        <v>3.7666667</v>
      </c>
      <c r="J152" s="7" t="n">
        <f aca="false">(G152-F152)*24</f>
        <v>0.066666667</v>
      </c>
    </row>
    <row r="153" customFormat="false" ht="15" hidden="false" customHeight="true" outlineLevel="0" collapsed="false">
      <c r="A153" s="24"/>
      <c r="B153" s="5"/>
      <c r="C153" s="5"/>
      <c r="D153" s="4"/>
      <c r="E153" s="4" t="n">
        <v>0.1</v>
      </c>
      <c r="F153" s="18" t="n">
        <f aca="false">TIME(13,51,0)</f>
        <v>0.577083333333333</v>
      </c>
      <c r="G153" s="18" t="n">
        <f aca="false">TIME(13,54,0)</f>
        <v>0.579166666666667</v>
      </c>
      <c r="H153" s="7" t="n">
        <f aca="false">E153*(G153-F153)*24</f>
        <v>0.005</v>
      </c>
      <c r="I153" s="7" t="n">
        <f aca="false">(C153-B153)*24</f>
        <v>0</v>
      </c>
      <c r="J153" s="7" t="n">
        <f aca="false">(G153-F153)*24</f>
        <v>0.05</v>
      </c>
    </row>
    <row r="154" customFormat="false" ht="15" hidden="false" customHeight="true" outlineLevel="0" collapsed="false">
      <c r="A154" s="24"/>
      <c r="B154" s="5"/>
      <c r="C154" s="5"/>
      <c r="D154" s="4"/>
      <c r="E154" s="4" t="n">
        <v>0.01</v>
      </c>
      <c r="F154" s="18" t="n">
        <f aca="false">TIME(14,2,0)</f>
        <v>0.584722222222222</v>
      </c>
      <c r="G154" s="18" t="n">
        <f aca="false">TIME(14,5,0)</f>
        <v>0.586805555555556</v>
      </c>
      <c r="H154" s="7" t="n">
        <f aca="false">E154*(G154-F154)*24</f>
        <v>0.0005</v>
      </c>
      <c r="I154" s="7" t="n">
        <f aca="false">(C154-B154)*24</f>
        <v>0</v>
      </c>
      <c r="J154" s="7" t="n">
        <f aca="false">(G154-F154)*24</f>
        <v>0.05</v>
      </c>
    </row>
    <row r="155" customFormat="false" ht="15" hidden="false" customHeight="true" outlineLevel="0" collapsed="false">
      <c r="A155" s="24" t="n">
        <v>36160</v>
      </c>
      <c r="B155" s="5" t="n">
        <f aca="false">TIME(10,44,0)</f>
        <v>0.447222222222222</v>
      </c>
      <c r="C155" s="5" t="n">
        <f aca="false">TIME(11,56,0)</f>
        <v>0.497222222222222</v>
      </c>
      <c r="D155" s="4" t="s">
        <v>46</v>
      </c>
      <c r="E155" s="4" t="n">
        <v>0</v>
      </c>
      <c r="F155" s="18" t="n">
        <f aca="false">TIME(11,47,0)</f>
        <v>0.490972222222222</v>
      </c>
      <c r="G155" s="18" t="n">
        <f aca="false">TIME(11,51,0)</f>
        <v>0.49375</v>
      </c>
      <c r="H155" s="7" t="n">
        <f aca="false">E155*(G155-F155)*24</f>
        <v>0</v>
      </c>
      <c r="I155" s="7" t="n">
        <f aca="false">(C155-B155)*24</f>
        <v>1.2</v>
      </c>
      <c r="J155" s="7" t="n">
        <f aca="false">(G155-F155)*24</f>
        <v>0.066666667</v>
      </c>
    </row>
    <row r="156" customFormat="false" ht="15" hidden="false" customHeight="true" outlineLevel="0" collapsed="false">
      <c r="A156" s="24" t="n">
        <v>36165</v>
      </c>
      <c r="B156" s="5" t="n">
        <f aca="false">TIME(9,7,0)</f>
        <v>0.379861111111111</v>
      </c>
      <c r="C156" s="5" t="n">
        <f aca="false">TIME(10,46,0)</f>
        <v>0.448611111111111</v>
      </c>
      <c r="D156" s="4" t="n">
        <v>2</v>
      </c>
      <c r="E156" s="4" t="n">
        <v>0.01</v>
      </c>
      <c r="F156" s="18" t="n">
        <f aca="false">TIME(9,50,0)</f>
        <v>0.409722222222222</v>
      </c>
      <c r="G156" s="18" t="n">
        <f aca="false">TIME(10,16,0)</f>
        <v>0.427777777777778</v>
      </c>
      <c r="H156" s="7" t="n">
        <f aca="false">E156*(G156-F156)*24</f>
        <v>0.0043333333</v>
      </c>
      <c r="I156" s="7" t="n">
        <f aca="false">(C156-B156)*24</f>
        <v>1.65</v>
      </c>
      <c r="J156" s="7" t="n">
        <f aca="false">(G156-F156)*24</f>
        <v>0.43333333</v>
      </c>
    </row>
    <row r="157" customFormat="false" ht="15" hidden="false" customHeight="true" outlineLevel="0" collapsed="false">
      <c r="A157" s="4"/>
      <c r="B157" s="5"/>
      <c r="C157" s="5"/>
      <c r="D157" s="4"/>
      <c r="E157" s="4" t="n">
        <v>100</v>
      </c>
      <c r="F157" s="18" t="n">
        <f aca="false">TIME(10,16,0)</f>
        <v>0.427777777777778</v>
      </c>
      <c r="G157" s="18" t="n">
        <f aca="false">TIME(10,26,0)</f>
        <v>0.434722222222222</v>
      </c>
      <c r="H157" s="7" t="n">
        <f aca="false">E157*(G157-F157)*24</f>
        <v>16.666667</v>
      </c>
      <c r="I157" s="7" t="n">
        <f aca="false">(C157-B157)*24</f>
        <v>0</v>
      </c>
      <c r="J157" s="7" t="n">
        <f aca="false">(G157-F157)*24</f>
        <v>0.16666667</v>
      </c>
    </row>
    <row r="158" customFormat="false" ht="15" hidden="false" customHeight="true" outlineLevel="0" collapsed="false">
      <c r="A158" s="24"/>
      <c r="B158" s="5"/>
      <c r="C158" s="5"/>
      <c r="D158" s="4"/>
      <c r="E158" s="4" t="n">
        <v>180</v>
      </c>
      <c r="F158" s="18" t="n">
        <f aca="false">TIME(10,31,0)</f>
        <v>0.438194444444444</v>
      </c>
      <c r="G158" s="18" t="n">
        <f aca="false">TIME(10,41,0)</f>
        <v>0.445138888888889</v>
      </c>
      <c r="H158" s="7" t="n">
        <f aca="false">E158*(G158-F158)*24</f>
        <v>30</v>
      </c>
      <c r="I158" s="7" t="n">
        <f aca="false">(C158-B158)*24</f>
        <v>0</v>
      </c>
      <c r="J158" s="7" t="n">
        <f aca="false">(G158-F158)*24</f>
        <v>0.16666667</v>
      </c>
    </row>
    <row r="159" customFormat="false" ht="15" hidden="false" customHeight="true" outlineLevel="0" collapsed="false">
      <c r="A159" s="24" t="n">
        <v>36165</v>
      </c>
      <c r="B159" s="18" t="n">
        <f aca="false">TIME(13,1,0)</f>
        <v>0.542361111111111</v>
      </c>
      <c r="C159" s="18" t="n">
        <f aca="false">TIME(14,17,0)</f>
        <v>0.595138888888889</v>
      </c>
      <c r="D159" s="4" t="s">
        <v>47</v>
      </c>
      <c r="E159" s="4" t="n">
        <v>0.01</v>
      </c>
      <c r="F159" s="18" t="n">
        <f aca="false">TIME(13,48,0)</f>
        <v>0.575</v>
      </c>
      <c r="G159" s="18" t="n">
        <f aca="false">TIME(13,52,0)</f>
        <v>0.577777777777778</v>
      </c>
      <c r="H159" s="7" t="n">
        <f aca="false">E159*(G159-F159)*24</f>
        <v>0.00066666667</v>
      </c>
      <c r="I159" s="7" t="n">
        <f aca="false">(C159-B159)*24</f>
        <v>1.2666667</v>
      </c>
      <c r="J159" s="7" t="n">
        <f aca="false">(G159-F159)*24</f>
        <v>0.066666667</v>
      </c>
    </row>
    <row r="160" customFormat="false" ht="15" hidden="false" customHeight="true" outlineLevel="0" collapsed="false">
      <c r="A160" s="24"/>
      <c r="B160" s="5"/>
      <c r="C160" s="5"/>
      <c r="D160" s="4"/>
      <c r="E160" s="4" t="n">
        <v>0.1</v>
      </c>
      <c r="F160" s="18" t="n">
        <f aca="false">TIME(13,59,0)</f>
        <v>0.582638888888889</v>
      </c>
      <c r="G160" s="18" t="n">
        <f aca="false">TIME(14,12,0)</f>
        <v>0.591666666666667</v>
      </c>
      <c r="H160" s="7" t="n">
        <f aca="false">E160*(G160-F160)*24</f>
        <v>0.021666667</v>
      </c>
      <c r="I160" s="7" t="n">
        <f aca="false">(C160-B160)*24</f>
        <v>0</v>
      </c>
      <c r="J160" s="7" t="n">
        <f aca="false">(G160-F160)*24</f>
        <v>0.21666667</v>
      </c>
    </row>
    <row r="161" customFormat="false" ht="15" hidden="false" customHeight="true" outlineLevel="0" collapsed="false">
      <c r="A161" s="24" t="n">
        <v>36174</v>
      </c>
      <c r="B161" s="5" t="n">
        <f aca="false">TIME(13,40,0)</f>
        <v>0.569444444444444</v>
      </c>
      <c r="C161" s="5" t="n">
        <f aca="false">TIME(15,32,0)</f>
        <v>0.647222222222222</v>
      </c>
      <c r="D161" s="4" t="n">
        <v>5</v>
      </c>
      <c r="E161" s="4" t="n">
        <v>0.01</v>
      </c>
      <c r="F161" s="18" t="n">
        <f aca="false">TIME(14,15,0)</f>
        <v>0.59375</v>
      </c>
      <c r="G161" s="18" t="n">
        <f aca="false">TIME(14,17,0)</f>
        <v>0.595138888888889</v>
      </c>
      <c r="H161" s="7" t="n">
        <f aca="false">E161*(G161-F161)*24</f>
        <v>0.00033333333</v>
      </c>
      <c r="I161" s="7" t="n">
        <f aca="false">(C161-B161)*24</f>
        <v>1.8666667</v>
      </c>
      <c r="J161" s="7" t="n">
        <f aca="false">(G161-F161)*24</f>
        <v>0.033333333</v>
      </c>
    </row>
    <row r="162" customFormat="false" ht="15" hidden="false" customHeight="true" outlineLevel="0" collapsed="false">
      <c r="A162" s="24"/>
      <c r="B162" s="18"/>
      <c r="C162" s="18"/>
      <c r="D162" s="4"/>
      <c r="E162" s="4" t="n">
        <v>40</v>
      </c>
      <c r="F162" s="18" t="n">
        <f aca="false">TIME(14,27,0)</f>
        <v>0.602083333333333</v>
      </c>
      <c r="G162" s="18" t="n">
        <f aca="false">TIME(15,27,0)</f>
        <v>0.64375</v>
      </c>
      <c r="H162" s="7" t="n">
        <f aca="false">E162*(G162-F162)*24</f>
        <v>40</v>
      </c>
      <c r="I162" s="7" t="n">
        <f aca="false">(C162-B162)*24</f>
        <v>0</v>
      </c>
      <c r="J162" s="7" t="n">
        <f aca="false">(G162-F162)*24</f>
        <v>1</v>
      </c>
    </row>
    <row r="163" customFormat="false" ht="15" hidden="false" customHeight="true" outlineLevel="0" collapsed="false">
      <c r="A163" s="24" t="n">
        <v>36180</v>
      </c>
      <c r="B163" s="18" t="n">
        <f aca="false">TIME(12,58,0)</f>
        <v>0.540277777777778</v>
      </c>
      <c r="C163" s="18" t="n">
        <f aca="false">TIME(15,2,0)</f>
        <v>0.626388888888889</v>
      </c>
      <c r="D163" s="4" t="s">
        <v>48</v>
      </c>
      <c r="E163" s="4" t="n">
        <v>0.01</v>
      </c>
      <c r="F163" s="18" t="n">
        <f aca="false">TIME(13,34,0)</f>
        <v>0.565277777777778</v>
      </c>
      <c r="G163" s="18" t="n">
        <f aca="false">TIME(13,37,0)</f>
        <v>0.567361111111111</v>
      </c>
      <c r="H163" s="7" t="n">
        <f aca="false">E163*(G163-F163)*24</f>
        <v>0.0005</v>
      </c>
      <c r="I163" s="7" t="n">
        <f aca="false">(C163-B163)*24</f>
        <v>2.0666667</v>
      </c>
      <c r="J163" s="7" t="n">
        <f aca="false">(G163-F163)*24</f>
        <v>0.05</v>
      </c>
    </row>
    <row r="164" customFormat="false" ht="15" hidden="false" customHeight="true" outlineLevel="0" collapsed="false">
      <c r="A164" s="24"/>
      <c r="B164" s="18"/>
      <c r="C164" s="18"/>
      <c r="D164" s="4"/>
      <c r="E164" s="4" t="n">
        <v>0.1</v>
      </c>
      <c r="F164" s="18" t="n">
        <f aca="false">TIME(13,40,0)</f>
        <v>0.569444444444444</v>
      </c>
      <c r="G164" s="18" t="n">
        <f aca="false">TIME(14,8,0)</f>
        <v>0.588888888888889</v>
      </c>
      <c r="H164" s="7" t="n">
        <f aca="false">E164*(G164-F164)*24</f>
        <v>0.046666667</v>
      </c>
      <c r="I164" s="7" t="n">
        <f aca="false">(C164-B164)*24</f>
        <v>0</v>
      </c>
      <c r="J164" s="7" t="n">
        <f aca="false">(G164-F164)*24</f>
        <v>0.46666667</v>
      </c>
    </row>
    <row r="165" customFormat="false" ht="15" hidden="false" customHeight="true" outlineLevel="0" collapsed="false">
      <c r="A165" s="24"/>
      <c r="B165" s="18"/>
      <c r="C165" s="18"/>
      <c r="D165" s="4"/>
      <c r="E165" s="4" t="n">
        <v>50</v>
      </c>
      <c r="F165" s="18" t="n">
        <f aca="false">TIME(14,17,0)</f>
        <v>0.595138888888889</v>
      </c>
      <c r="G165" s="18" t="n">
        <f aca="false">TIME(14,57,0)</f>
        <v>0.622916666666667</v>
      </c>
      <c r="H165" s="7" t="n">
        <f aca="false">E165*(G165-F165)*24</f>
        <v>33.333333</v>
      </c>
      <c r="I165" s="7" t="n">
        <f aca="false">(C165-B165)*24</f>
        <v>0</v>
      </c>
      <c r="J165" s="7" t="n">
        <f aca="false">(G165-F165)*24</f>
        <v>0.66666667</v>
      </c>
    </row>
    <row r="166" customFormat="false" ht="15" hidden="false" customHeight="true" outlineLevel="0" collapsed="false">
      <c r="A166" s="24" t="n">
        <v>36181</v>
      </c>
      <c r="B166" s="18" t="n">
        <f aca="false">TIME(13,38,0)</f>
        <v>0.568055555555556</v>
      </c>
      <c r="C166" s="18" t="n">
        <f aca="false">TIME(15,55,0)</f>
        <v>0.663194444444444</v>
      </c>
      <c r="D166" s="4" t="n">
        <v>2</v>
      </c>
      <c r="E166" s="4" t="n">
        <v>0.01</v>
      </c>
      <c r="F166" s="18" t="n">
        <f aca="false">TIME(14,30,0)</f>
        <v>0.604166666666667</v>
      </c>
      <c r="G166" s="18" t="n">
        <f aca="false">TIME(14,34,0)</f>
        <v>0.606944444444444</v>
      </c>
      <c r="H166" s="7" t="n">
        <f aca="false">E166*(G166-F166)*24</f>
        <v>0.00066666667</v>
      </c>
      <c r="I166" s="7" t="n">
        <f aca="false">(C166-B166)*24</f>
        <v>2.2833333</v>
      </c>
      <c r="J166" s="7" t="n">
        <f aca="false">(G166-F166)*24</f>
        <v>0.066666667</v>
      </c>
    </row>
    <row r="167" customFormat="false" ht="15" hidden="false" customHeight="true" outlineLevel="0" collapsed="false">
      <c r="A167" s="24"/>
      <c r="B167" s="18"/>
      <c r="C167" s="18"/>
      <c r="D167" s="4"/>
      <c r="E167" s="4" t="n">
        <v>100</v>
      </c>
      <c r="F167" s="18" t="n">
        <f aca="false">TIME(14,56,0)</f>
        <v>0.622222222222222</v>
      </c>
      <c r="G167" s="18" t="n">
        <f aca="false">TIME(15,20,0)</f>
        <v>0.638888888888889</v>
      </c>
      <c r="H167" s="7" t="n">
        <f aca="false">E167*(G167-F167)*24</f>
        <v>40</v>
      </c>
      <c r="I167" s="7" t="n">
        <f aca="false">(C167-B167)*24</f>
        <v>0</v>
      </c>
      <c r="J167" s="7" t="n">
        <f aca="false">(G167-F167)*24</f>
        <v>0.4</v>
      </c>
    </row>
    <row r="168" customFormat="false" ht="15" hidden="false" customHeight="true" outlineLevel="0" collapsed="false">
      <c r="A168" s="24"/>
      <c r="B168" s="18"/>
      <c r="C168" s="18"/>
      <c r="D168" s="4"/>
      <c r="E168" s="4" t="n">
        <v>200</v>
      </c>
      <c r="F168" s="18" t="n">
        <f aca="false">TIME(15,37,0)</f>
        <v>0.650694444444445</v>
      </c>
      <c r="G168" s="18" t="n">
        <f aca="false">TIME(15,50,0)</f>
        <v>0.659722222222222</v>
      </c>
      <c r="H168" s="7" t="n">
        <f aca="false">E168*(G168-F168)*24</f>
        <v>43.333333</v>
      </c>
      <c r="I168" s="7" t="n">
        <f aca="false">(C168-B168)*24</f>
        <v>0</v>
      </c>
      <c r="J168" s="7" t="n">
        <f aca="false">(G168-F168)*24</f>
        <v>0.21666667</v>
      </c>
    </row>
    <row r="169" customFormat="false" ht="15" hidden="false" customHeight="true" outlineLevel="0" collapsed="false">
      <c r="A169" s="24" t="n">
        <v>36182</v>
      </c>
      <c r="B169" s="18" t="n">
        <f aca="false">TIME(9,52,0)</f>
        <v>0.411111111111111</v>
      </c>
      <c r="C169" s="18" t="n">
        <f aca="false">TIME(14,26,0)</f>
        <v>0.601388888888889</v>
      </c>
      <c r="D169" s="4" t="n">
        <v>4</v>
      </c>
      <c r="E169" s="4" t="n">
        <v>0.01</v>
      </c>
      <c r="F169" s="18" t="n">
        <f aca="false">TIME(10,51,0)</f>
        <v>0.452083333333333</v>
      </c>
      <c r="G169" s="18" t="n">
        <f aca="false">TIME(10,52,0)</f>
        <v>0.452777777777778</v>
      </c>
      <c r="H169" s="7" t="n">
        <f aca="false">E169*(G169-F169)*24</f>
        <v>0.00016666667</v>
      </c>
      <c r="I169" s="7" t="n">
        <f aca="false">(C169-B169)*24</f>
        <v>4.5666667</v>
      </c>
      <c r="J169" s="7" t="n">
        <f aca="false">(G169-F169)*24</f>
        <v>0.016666667</v>
      </c>
    </row>
    <row r="170" customFormat="false" ht="15" hidden="false" customHeight="true" outlineLevel="0" collapsed="false">
      <c r="A170" s="24"/>
      <c r="B170" s="18"/>
      <c r="C170" s="18"/>
      <c r="D170" s="4"/>
      <c r="E170" s="4" t="n">
        <v>10</v>
      </c>
      <c r="F170" s="18" t="n">
        <f aca="false">TIME(11,8,0)</f>
        <v>0.463888888888889</v>
      </c>
      <c r="G170" s="18" t="n">
        <f aca="false">TIME(11,9,0)</f>
        <v>0.464583333333333</v>
      </c>
      <c r="H170" s="7" t="n">
        <f aca="false">E170*(G170-F170)*24</f>
        <v>0.16666667</v>
      </c>
      <c r="I170" s="7" t="n">
        <f aca="false">(C170-B170)*24</f>
        <v>0</v>
      </c>
      <c r="J170" s="7" t="n">
        <f aca="false">(G170-F170)*24</f>
        <v>0.016666667</v>
      </c>
    </row>
    <row r="171" customFormat="false" ht="15" hidden="false" customHeight="true" outlineLevel="0" collapsed="false">
      <c r="A171" s="24"/>
      <c r="B171" s="18"/>
      <c r="C171" s="18"/>
      <c r="D171" s="4"/>
      <c r="E171" s="4" t="n">
        <v>180</v>
      </c>
      <c r="F171" s="18" t="n">
        <f aca="false">TIME(11,19,0)</f>
        <v>0.471527777777778</v>
      </c>
      <c r="G171" s="18" t="n">
        <f aca="false">TIME(14,21,0)</f>
        <v>0.597916666666667</v>
      </c>
      <c r="H171" s="7" t="n">
        <f aca="false">E171*(G171-F171)*24</f>
        <v>546</v>
      </c>
      <c r="I171" s="7" t="n">
        <f aca="false">(C171-B171)*24</f>
        <v>0</v>
      </c>
      <c r="J171" s="7" t="n">
        <f aca="false">(G171-F171)*24</f>
        <v>3.0333333</v>
      </c>
    </row>
    <row r="172" customFormat="false" ht="15" hidden="false" customHeight="true" outlineLevel="0" collapsed="false">
      <c r="A172" s="24" t="n">
        <v>36185</v>
      </c>
      <c r="B172" s="18" t="n">
        <f aca="false">TIME(13,32,0)</f>
        <v>0.563888888888889</v>
      </c>
      <c r="C172" s="18" t="n">
        <f aca="false">TIME(16,5,0)</f>
        <v>0.670138888888889</v>
      </c>
      <c r="D172" s="4" t="n">
        <v>4</v>
      </c>
      <c r="E172" s="4" t="n">
        <v>0.01</v>
      </c>
      <c r="F172" s="18" t="n">
        <f aca="false">TIME(14,18,0)</f>
        <v>0.595833333333333</v>
      </c>
      <c r="G172" s="18" t="n">
        <f aca="false">TIME(14,20,0)</f>
        <v>0.597222222222222</v>
      </c>
      <c r="H172" s="7" t="n">
        <f aca="false">E172*(G172-F172)*24</f>
        <v>0.00033333333</v>
      </c>
      <c r="I172" s="7" t="n">
        <f aca="false">(C172-B172)*24</f>
        <v>2.55</v>
      </c>
      <c r="J172" s="7" t="n">
        <f aca="false">(G172-F172)*24</f>
        <v>0.033333333</v>
      </c>
    </row>
    <row r="173" customFormat="false" ht="15" hidden="false" customHeight="true" outlineLevel="0" collapsed="false">
      <c r="A173" s="24"/>
      <c r="B173" s="18"/>
      <c r="C173" s="18"/>
      <c r="D173" s="4"/>
      <c r="E173" s="4" t="n">
        <v>10</v>
      </c>
      <c r="F173" s="18" t="n">
        <f aca="false">TIME(14,33,0)</f>
        <v>0.60625</v>
      </c>
      <c r="G173" s="18" t="n">
        <f aca="false">TIME(14,36,0)</f>
        <v>0.608333333333333</v>
      </c>
      <c r="H173" s="7" t="n">
        <f aca="false">E173*(G173-F173)*24</f>
        <v>0.5</v>
      </c>
      <c r="I173" s="7" t="n">
        <f aca="false">(C173-B173)*24</f>
        <v>0</v>
      </c>
      <c r="J173" s="7" t="n">
        <f aca="false">(G173-F173)*24</f>
        <v>0.05</v>
      </c>
    </row>
    <row r="174" customFormat="false" ht="15" hidden="false" customHeight="true" outlineLevel="0" collapsed="false">
      <c r="A174" s="24"/>
      <c r="B174" s="5"/>
      <c r="C174" s="5"/>
      <c r="D174" s="4"/>
      <c r="E174" s="4" t="n">
        <v>180</v>
      </c>
      <c r="F174" s="18" t="n">
        <f aca="false">TIME(14,46,0)</f>
        <v>0.615277777777778</v>
      </c>
      <c r="G174" s="18" t="n">
        <f aca="false">TIME(16,0,0)</f>
        <v>0.666666666666667</v>
      </c>
      <c r="H174" s="7" t="n">
        <f aca="false">E174*(G174-F174)*24</f>
        <v>222</v>
      </c>
      <c r="I174" s="7" t="n">
        <f aca="false">(C174-B174)*24</f>
        <v>0</v>
      </c>
      <c r="J174" s="7" t="n">
        <f aca="false">(G174-F174)*24</f>
        <v>1.2333333</v>
      </c>
    </row>
    <row r="175" customFormat="false" ht="15" hidden="false" customHeight="true" outlineLevel="0" collapsed="false">
      <c r="A175" s="24" t="n">
        <v>36187</v>
      </c>
      <c r="B175" s="5" t="n">
        <f aca="false">TIME(8,56,0)</f>
        <v>0.372222222222222</v>
      </c>
      <c r="C175" s="5" t="n">
        <f aca="false">TIME(11,53,0)</f>
        <v>0.495138888888889</v>
      </c>
      <c r="D175" s="4" t="n">
        <v>5</v>
      </c>
      <c r="E175" s="4" t="n">
        <v>0.01</v>
      </c>
      <c r="F175" s="18" t="n">
        <f aca="false">TIME(9,36,0)</f>
        <v>0.4</v>
      </c>
      <c r="G175" s="18" t="n">
        <f aca="false">TIME(9,38,0)</f>
        <v>0.401388888888889</v>
      </c>
      <c r="H175" s="7" t="n">
        <f aca="false">E175*(G175-F175)*24</f>
        <v>0.00033333333</v>
      </c>
      <c r="I175" s="7" t="n">
        <f aca="false">(C175-B175)*24</f>
        <v>2.95</v>
      </c>
      <c r="J175" s="7" t="n">
        <f aca="false">(G175-F175)*24</f>
        <v>0.033333333</v>
      </c>
    </row>
    <row r="176" customFormat="false" ht="15" hidden="false" customHeight="true" outlineLevel="0" collapsed="false">
      <c r="A176" s="4"/>
      <c r="B176" s="5"/>
      <c r="C176" s="5"/>
      <c r="D176" s="4"/>
      <c r="E176" s="4" t="n">
        <v>20</v>
      </c>
      <c r="F176" s="18" t="n">
        <f aca="false">TIME(9,51,0)</f>
        <v>0.410416666666667</v>
      </c>
      <c r="G176" s="18" t="n">
        <f aca="false">TIME(10,31,0)</f>
        <v>0.438194444444444</v>
      </c>
      <c r="H176" s="7" t="n">
        <f aca="false">E176*(G176-F176)*24</f>
        <v>13.333333</v>
      </c>
      <c r="I176" s="7" t="n">
        <f aca="false">(C176-B176)*24</f>
        <v>0</v>
      </c>
      <c r="J176" s="7" t="n">
        <f aca="false">(G176-F176)*24</f>
        <v>0.66666667</v>
      </c>
    </row>
    <row r="177" customFormat="false" ht="15" hidden="false" customHeight="true" outlineLevel="0" collapsed="false">
      <c r="A177" s="4"/>
      <c r="B177" s="5"/>
      <c r="C177" s="5"/>
      <c r="D177" s="4"/>
      <c r="E177" s="4" t="n">
        <v>100</v>
      </c>
      <c r="F177" s="18" t="n">
        <f aca="false">TIME(10,35,0)</f>
        <v>0.440972222222222</v>
      </c>
      <c r="G177" s="18" t="n">
        <f aca="false">TIME(11,48,0)</f>
        <v>0.491666666666667</v>
      </c>
      <c r="H177" s="7" t="n">
        <f aca="false">E177*(G177-F177)*24</f>
        <v>121.66667</v>
      </c>
      <c r="I177" s="7" t="n">
        <f aca="false">(C177-B177)*24</f>
        <v>0</v>
      </c>
      <c r="J177" s="7" t="n">
        <f aca="false">(G177-F177)*24</f>
        <v>1.2166667</v>
      </c>
    </row>
    <row r="178" customFormat="false" ht="15" hidden="false" customHeight="true" outlineLevel="0" collapsed="false">
      <c r="A178" s="24" t="n">
        <v>36187</v>
      </c>
      <c r="B178" s="5" t="n">
        <f aca="false">TIME(15,9,0)</f>
        <v>0.63125</v>
      </c>
      <c r="C178" s="5" t="n">
        <f aca="false">TIME(16,25,0)</f>
        <v>0.684027777777778</v>
      </c>
      <c r="D178" s="4" t="s">
        <v>39</v>
      </c>
      <c r="E178" s="4" t="n">
        <v>0</v>
      </c>
      <c r="F178" s="18" t="n">
        <f aca="false">TIME(16,10,0)</f>
        <v>0.673611111111111</v>
      </c>
      <c r="G178" s="18" t="n">
        <f aca="false">TIME(16,20,0)</f>
        <v>0.680555555555556</v>
      </c>
      <c r="H178" s="7" t="n">
        <f aca="false">E178*(G178-F178)*24</f>
        <v>0</v>
      </c>
      <c r="I178" s="7" t="n">
        <f aca="false">(C178-B178)*24</f>
        <v>1.2666667</v>
      </c>
      <c r="J178" s="7" t="n">
        <f aca="false">(G178-F178)*24</f>
        <v>0.16666667</v>
      </c>
    </row>
    <row r="179" customFormat="false" ht="15" hidden="false" customHeight="true" outlineLevel="0" collapsed="false">
      <c r="A179" s="24" t="n">
        <v>36188</v>
      </c>
      <c r="B179" s="5" t="n">
        <f aca="false">TIME(8,8,0)</f>
        <v>0.338888888888889</v>
      </c>
      <c r="C179" s="5" t="n">
        <f aca="false">TIME(12,5,0)</f>
        <v>0.503472222222222</v>
      </c>
      <c r="D179" s="4" t="n">
        <v>4</v>
      </c>
      <c r="E179" s="4" t="n">
        <v>0.01</v>
      </c>
      <c r="F179" s="18" t="n">
        <f aca="false">TIME(9,0,0)</f>
        <v>0.375</v>
      </c>
      <c r="G179" s="18" t="n">
        <f aca="false">TIME(9,9,0)</f>
        <v>0.38125</v>
      </c>
      <c r="H179" s="7" t="n">
        <f aca="false">E179*(G179-F179)*24</f>
        <v>0.0015</v>
      </c>
      <c r="I179" s="7" t="n">
        <f aca="false">(C179-B179)*24</f>
        <v>3.95</v>
      </c>
      <c r="J179" s="7" t="n">
        <f aca="false">(G179-F179)*24</f>
        <v>0.15</v>
      </c>
    </row>
    <row r="180" customFormat="false" ht="15" hidden="false" customHeight="true" outlineLevel="0" collapsed="false">
      <c r="A180" s="24"/>
      <c r="B180" s="5"/>
      <c r="C180" s="5"/>
      <c r="D180" s="4"/>
      <c r="E180" s="4" t="n">
        <v>20</v>
      </c>
      <c r="F180" s="18" t="n">
        <f aca="false">TIME(9,23,0)</f>
        <v>0.390972222222222</v>
      </c>
      <c r="G180" s="18" t="n">
        <f aca="false">TIME(9,26,0)</f>
        <v>0.393055555555556</v>
      </c>
      <c r="H180" s="7" t="n">
        <f aca="false">E180*(G180-F180)*24</f>
        <v>1</v>
      </c>
      <c r="I180" s="7" t="n">
        <f aca="false">(C180-B180)*24</f>
        <v>0</v>
      </c>
      <c r="J180" s="7" t="n">
        <f aca="false">(G180-F180)*24</f>
        <v>0.05</v>
      </c>
    </row>
    <row r="181" customFormat="false" ht="15" hidden="false" customHeight="true" outlineLevel="0" collapsed="false">
      <c r="A181" s="24"/>
      <c r="B181" s="5"/>
      <c r="C181" s="5"/>
      <c r="D181" s="4"/>
      <c r="E181" s="4" t="n">
        <v>180</v>
      </c>
      <c r="F181" s="18" t="n">
        <f aca="false">TIME(9,35,0)</f>
        <v>0.399305555555556</v>
      </c>
      <c r="G181" s="18" t="n">
        <f aca="false">TIME(12,0,0)</f>
        <v>0.5</v>
      </c>
      <c r="H181" s="7" t="n">
        <f aca="false">E181*(G181-F181)*24</f>
        <v>435</v>
      </c>
      <c r="I181" s="7" t="n">
        <f aca="false">(C181-B181)*24</f>
        <v>0</v>
      </c>
      <c r="J181" s="7" t="n">
        <f aca="false">(G181-F181)*24</f>
        <v>2.4166667</v>
      </c>
    </row>
    <row r="182" customFormat="false" ht="15" hidden="false" customHeight="true" outlineLevel="0" collapsed="false">
      <c r="A182" s="24" t="n">
        <v>36192</v>
      </c>
      <c r="B182" s="5" t="n">
        <f aca="false">TIME(14,9,0)</f>
        <v>0.589583333333333</v>
      </c>
      <c r="C182" s="5" t="n">
        <f aca="false">TIME(16,20,0)</f>
        <v>0.680555555555556</v>
      </c>
      <c r="D182" s="4" t="s">
        <v>42</v>
      </c>
      <c r="E182" s="4" t="n">
        <v>0.01</v>
      </c>
      <c r="F182" s="18" t="n">
        <f aca="false">TIME(14,45,0)</f>
        <v>0.614583333333333</v>
      </c>
      <c r="G182" s="18" t="n">
        <f aca="false">TIME(14,49,0)</f>
        <v>0.617361111111111</v>
      </c>
      <c r="H182" s="7" t="n">
        <f aca="false">E182*(G182-F182)*24</f>
        <v>0.00066666667</v>
      </c>
      <c r="I182" s="7" t="n">
        <f aca="false">(C182-B182)*24</f>
        <v>2.1833333</v>
      </c>
      <c r="J182" s="7" t="n">
        <f aca="false">(G182-F182)*24</f>
        <v>0.066666667</v>
      </c>
    </row>
    <row r="183" customFormat="false" ht="15" hidden="false" customHeight="true" outlineLevel="0" collapsed="false">
      <c r="A183" s="4"/>
      <c r="B183" s="5"/>
      <c r="C183" s="5"/>
      <c r="D183" s="4"/>
      <c r="E183" s="4" t="n">
        <v>100</v>
      </c>
      <c r="F183" s="18" t="n">
        <f aca="false">TIME(15,1,0)</f>
        <v>0.625694444444444</v>
      </c>
      <c r="G183" s="18" t="n">
        <f aca="false">TIME(15,3,0)</f>
        <v>0.627083333333333</v>
      </c>
      <c r="H183" s="7" t="n">
        <f aca="false">E183*(G183-F183)*24</f>
        <v>3.3333333</v>
      </c>
      <c r="I183" s="7" t="n">
        <f aca="false">(C183-B183)*24</f>
        <v>0</v>
      </c>
      <c r="J183" s="7" t="n">
        <f aca="false">(G183-F183)*24</f>
        <v>0.033333333</v>
      </c>
    </row>
    <row r="184" customFormat="false" ht="15" hidden="false" customHeight="true" outlineLevel="0" collapsed="false">
      <c r="A184" s="24"/>
      <c r="B184" s="5"/>
      <c r="C184" s="5"/>
      <c r="D184" s="4"/>
      <c r="E184" s="4" t="n">
        <v>180</v>
      </c>
      <c r="F184" s="18" t="n">
        <f aca="false">TIME(15,8,0)</f>
        <v>0.630555555555556</v>
      </c>
      <c r="G184" s="18" t="n">
        <f aca="false">TIME(16,15,0)</f>
        <v>0.677083333333333</v>
      </c>
      <c r="H184" s="7" t="n">
        <f aca="false">E184*(G184-F184)*24</f>
        <v>201</v>
      </c>
      <c r="I184" s="7" t="n">
        <f aca="false">(C184-B184)*24</f>
        <v>0</v>
      </c>
      <c r="J184" s="7" t="n">
        <f aca="false">(G184-F184)*24</f>
        <v>1.1166667</v>
      </c>
    </row>
    <row r="185" customFormat="false" ht="15" hidden="false" customHeight="true" outlineLevel="0" collapsed="false">
      <c r="A185" s="24" t="n">
        <v>36193</v>
      </c>
      <c r="B185" s="5" t="n">
        <f aca="false">TIME(11,6,0)</f>
        <v>0.4625</v>
      </c>
      <c r="C185" s="5" t="n">
        <f aca="false">TIME(16,31,0)</f>
        <v>0.688194444444444</v>
      </c>
      <c r="D185" s="4" t="n">
        <v>4</v>
      </c>
      <c r="E185" s="4" t="n">
        <v>0.01</v>
      </c>
      <c r="F185" s="18" t="n">
        <f aca="false">TIME(12,1,0)</f>
        <v>0.500694444444444</v>
      </c>
      <c r="G185" s="18" t="n">
        <f aca="false">TIME(12,2,0)</f>
        <v>0.501388888888889</v>
      </c>
      <c r="H185" s="7" t="n">
        <f aca="false">E185*(G185-F185)*24</f>
        <v>0.00016666667</v>
      </c>
      <c r="I185" s="7" t="n">
        <f aca="false">(C185-B185)*24</f>
        <v>5.4166667</v>
      </c>
      <c r="J185" s="7" t="n">
        <f aca="false">(G185-F185)*24</f>
        <v>0.016666667</v>
      </c>
    </row>
    <row r="186" customFormat="false" ht="15" hidden="false" customHeight="true" outlineLevel="0" collapsed="false">
      <c r="A186" s="24"/>
      <c r="B186" s="5"/>
      <c r="C186" s="5"/>
      <c r="D186" s="4"/>
      <c r="E186" s="4" t="n">
        <v>10</v>
      </c>
      <c r="F186" s="18" t="n">
        <f aca="false">TIME(12,10,0)</f>
        <v>0.506944444444444</v>
      </c>
      <c r="G186" s="18" t="n">
        <f aca="false">TIME(12,14,0)</f>
        <v>0.509722222222222</v>
      </c>
      <c r="H186" s="7" t="n">
        <f aca="false">E186*(G186-F186)*24</f>
        <v>0.66666667</v>
      </c>
      <c r="I186" s="7" t="n">
        <f aca="false">(C186-B186)*24</f>
        <v>0</v>
      </c>
      <c r="J186" s="7" t="n">
        <f aca="false">(G186-F186)*24</f>
        <v>0.066666667</v>
      </c>
    </row>
    <row r="187" customFormat="false" ht="15" hidden="false" customHeight="true" outlineLevel="0" collapsed="false">
      <c r="A187" s="4"/>
      <c r="B187" s="5"/>
      <c r="C187" s="5"/>
      <c r="D187" s="4"/>
      <c r="E187" s="4" t="n">
        <v>180</v>
      </c>
      <c r="F187" s="18" t="n">
        <f aca="false">TIME(12,24,0)</f>
        <v>0.516666666666667</v>
      </c>
      <c r="G187" s="18" t="n">
        <f aca="false">TIME(16,26,0)</f>
        <v>0.684722222222222</v>
      </c>
      <c r="H187" s="7" t="n">
        <f aca="false">E187*(G187-F187)*24</f>
        <v>726</v>
      </c>
      <c r="I187" s="7" t="n">
        <f aca="false">(C187-B187)*24</f>
        <v>0</v>
      </c>
      <c r="J187" s="7" t="n">
        <f aca="false">(G187-F187)*24</f>
        <v>4.0333333</v>
      </c>
    </row>
    <row r="188" customFormat="false" ht="15" hidden="false" customHeight="true" outlineLevel="0" collapsed="false">
      <c r="A188" s="24" t="n">
        <v>36195</v>
      </c>
      <c r="B188" s="5" t="n">
        <f aca="false">TIME(12,35,0)</f>
        <v>0.524305555555556</v>
      </c>
      <c r="C188" s="5" t="n">
        <f aca="false">TIME(14,30,0)</f>
        <v>0.604166666666667</v>
      </c>
      <c r="D188" s="4" t="s">
        <v>39</v>
      </c>
      <c r="E188" s="4" t="n">
        <v>0.01</v>
      </c>
      <c r="F188" s="18" t="n">
        <f aca="false">TIME(14,19,0)</f>
        <v>0.596527777777778</v>
      </c>
      <c r="G188" s="18" t="n">
        <f aca="false">TIME(14,25,0)</f>
        <v>0.600694444444444</v>
      </c>
      <c r="H188" s="7" t="n">
        <f aca="false">E188*(G188-F188)*24</f>
        <v>0.001</v>
      </c>
      <c r="I188" s="7" t="n">
        <f aca="false">(C188-B188)*24</f>
        <v>1.9166667</v>
      </c>
      <c r="J188" s="7" t="n">
        <f aca="false">(G188-F188)*24</f>
        <v>0.1</v>
      </c>
    </row>
    <row r="189" customFormat="false" ht="15" hidden="false" customHeight="true" outlineLevel="0" collapsed="false">
      <c r="A189" s="24" t="n">
        <v>36196</v>
      </c>
      <c r="B189" s="5" t="n">
        <f aca="false">TIME(8,2,0)</f>
        <v>0.334722222222222</v>
      </c>
      <c r="C189" s="5" t="n">
        <f aca="false">TIME(9,10,0)</f>
        <v>0.381944444444444</v>
      </c>
      <c r="D189" s="4" t="n">
        <v>2</v>
      </c>
      <c r="E189" s="4" t="n">
        <v>0.01</v>
      </c>
      <c r="F189" s="18" t="n">
        <f aca="false">TIME(8,40,0)</f>
        <v>0.361111111111111</v>
      </c>
      <c r="G189" s="18" t="n">
        <f aca="false">TIME(8,42,0)</f>
        <v>0.3625</v>
      </c>
      <c r="H189" s="7" t="n">
        <f aca="false">E189*(G189-F189)*24</f>
        <v>0.00033333333</v>
      </c>
      <c r="I189" s="7" t="n">
        <f aca="false">(C189-B189)*24</f>
        <v>1.1333333</v>
      </c>
      <c r="J189" s="7" t="n">
        <f aca="false">(G189-F189)*24</f>
        <v>0.033333333</v>
      </c>
    </row>
    <row r="190" customFormat="false" ht="15" hidden="false" customHeight="true" outlineLevel="0" collapsed="false">
      <c r="A190" s="24"/>
      <c r="B190" s="5"/>
      <c r="C190" s="5"/>
      <c r="D190" s="4"/>
      <c r="E190" s="4" t="n">
        <v>100</v>
      </c>
      <c r="F190" s="18" t="n">
        <f aca="false">TIME(8,55,0)</f>
        <v>0.371527777777778</v>
      </c>
      <c r="G190" s="18" t="n">
        <f aca="false">TIME(8,57,0)</f>
        <v>0.372916666666667</v>
      </c>
      <c r="H190" s="7" t="n">
        <f aca="false">E190*(G190-F190)*24</f>
        <v>3.3333333</v>
      </c>
      <c r="I190" s="7" t="n">
        <f aca="false">(C190-B190)*24</f>
        <v>0</v>
      </c>
      <c r="J190" s="7" t="n">
        <f aca="false">(G190-F190)*24</f>
        <v>0.033333333</v>
      </c>
    </row>
    <row r="191" customFormat="false" ht="15" hidden="false" customHeight="true" outlineLevel="0" collapsed="false">
      <c r="A191" s="4"/>
      <c r="B191" s="5"/>
      <c r="C191" s="5"/>
      <c r="D191" s="4"/>
      <c r="E191" s="4" t="n">
        <v>140</v>
      </c>
      <c r="F191" s="18" t="n">
        <f aca="false">TIME(8,57,0)</f>
        <v>0.372916666666667</v>
      </c>
      <c r="G191" s="18" t="n">
        <f aca="false">TIME(9,5,0)</f>
        <v>0.378472222222222</v>
      </c>
      <c r="H191" s="7" t="n">
        <f aca="false">E191*(G191-F191)*24</f>
        <v>18.666667</v>
      </c>
      <c r="I191" s="7" t="n">
        <f aca="false">(C191-B191)*24</f>
        <v>0</v>
      </c>
      <c r="J191" s="7" t="n">
        <f aca="false">(G191-F191)*24</f>
        <v>0.13333333</v>
      </c>
    </row>
    <row r="192" customFormat="false" ht="15" hidden="false" customHeight="true" outlineLevel="0" collapsed="false">
      <c r="A192" s="24" t="n">
        <v>36196</v>
      </c>
      <c r="B192" s="5" t="n">
        <f aca="false">TIME(11,32,0)</f>
        <v>0.480555555555556</v>
      </c>
      <c r="C192" s="5" t="n">
        <f aca="false">TIME(16,16,0)</f>
        <v>0.677777777777778</v>
      </c>
      <c r="D192" s="4" t="s">
        <v>49</v>
      </c>
      <c r="E192" s="4" t="n">
        <v>0.01</v>
      </c>
      <c r="F192" s="18" t="n">
        <f aca="false">TIME(14,0,0)</f>
        <v>0.583333333333333</v>
      </c>
      <c r="G192" s="18" t="n">
        <f aca="false">TIME(14,8,0)</f>
        <v>0.588888888888889</v>
      </c>
      <c r="H192" s="7" t="n">
        <f aca="false">E192*(G192-F192)*24</f>
        <v>0.0013333333</v>
      </c>
      <c r="I192" s="7" t="n">
        <f aca="false">(C192-B192)*24</f>
        <v>4.7333333</v>
      </c>
      <c r="J192" s="7" t="n">
        <f aca="false">(G192-F192)*24</f>
        <v>0.13333333</v>
      </c>
    </row>
    <row r="193" customFormat="false" ht="15" hidden="false" customHeight="true" outlineLevel="0" collapsed="false">
      <c r="A193" s="24"/>
      <c r="B193" s="5"/>
      <c r="C193" s="5"/>
      <c r="D193" s="4"/>
      <c r="E193" s="4" t="n">
        <v>0</v>
      </c>
      <c r="F193" s="18" t="n">
        <f aca="false">TIME(14,8,0)</f>
        <v>0.588888888888889</v>
      </c>
      <c r="G193" s="18" t="n">
        <f aca="false">TIME(14,35,0)</f>
        <v>0.607638888888889</v>
      </c>
      <c r="H193" s="7" t="n">
        <f aca="false">E193*(G193-F193)*24</f>
        <v>0</v>
      </c>
      <c r="I193" s="7" t="n">
        <f aca="false">(C193-B193)*24</f>
        <v>0</v>
      </c>
      <c r="J193" s="7" t="n">
        <f aca="false">(G193-F193)*24</f>
        <v>0.45</v>
      </c>
    </row>
    <row r="194" customFormat="false" ht="15" hidden="false" customHeight="true" outlineLevel="0" collapsed="false">
      <c r="A194" s="24"/>
      <c r="B194" s="5"/>
      <c r="C194" s="5"/>
      <c r="D194" s="4"/>
      <c r="E194" s="4" t="n">
        <v>0.01</v>
      </c>
      <c r="F194" s="18" t="n">
        <f aca="false">TIME(14,47,0)</f>
        <v>0.615972222222222</v>
      </c>
      <c r="G194" s="18" t="n">
        <f aca="false">TIME(14,51,0)</f>
        <v>0.61875</v>
      </c>
      <c r="H194" s="7" t="n">
        <f aca="false">E194*(G194-F194)*24</f>
        <v>0.00066666667</v>
      </c>
      <c r="I194" s="7" t="n">
        <f aca="false">(C194-B194)*24</f>
        <v>0</v>
      </c>
      <c r="J194" s="7" t="n">
        <f aca="false">(G194-F194)*24</f>
        <v>0.066666667</v>
      </c>
    </row>
    <row r="195" customFormat="false" ht="15" hidden="false" customHeight="true" outlineLevel="0" collapsed="false">
      <c r="A195" s="24"/>
      <c r="B195" s="5"/>
      <c r="C195" s="5"/>
      <c r="D195" s="4"/>
      <c r="E195" s="4" t="n">
        <v>0</v>
      </c>
      <c r="F195" s="18" t="n">
        <f aca="false">TIME(14,51,0)</f>
        <v>0.61875</v>
      </c>
      <c r="G195" s="18" t="n">
        <f aca="false">TIME(15,2,0)</f>
        <v>0.626388888888889</v>
      </c>
      <c r="H195" s="7" t="n">
        <f aca="false">E195*(G195-F195)*24</f>
        <v>0</v>
      </c>
      <c r="I195" s="7" t="n">
        <f aca="false">(C195-B195)*24</f>
        <v>0</v>
      </c>
      <c r="J195" s="7" t="n">
        <f aca="false">(G195-F195)*24</f>
        <v>0.18333333</v>
      </c>
    </row>
    <row r="196" customFormat="false" ht="15" hidden="false" customHeight="true" outlineLevel="0" collapsed="false">
      <c r="A196" s="4"/>
      <c r="B196" s="5"/>
      <c r="C196" s="5"/>
      <c r="D196" s="4"/>
      <c r="E196" s="4" t="n">
        <v>0.01</v>
      </c>
      <c r="F196" s="18" t="n">
        <f aca="false">TIME(15,17,0)</f>
        <v>0.636805555555556</v>
      </c>
      <c r="G196" s="18" t="n">
        <f aca="false">TIME(15,23,0)</f>
        <v>0.640972222222222</v>
      </c>
      <c r="H196" s="7" t="n">
        <f aca="false">E196*(G196-F196)*24</f>
        <v>0.001</v>
      </c>
      <c r="I196" s="7" t="n">
        <f aca="false">(C196-B196)*24</f>
        <v>0</v>
      </c>
      <c r="J196" s="7" t="n">
        <f aca="false">(G196-F196)*24</f>
        <v>0.1</v>
      </c>
    </row>
    <row r="197" customFormat="false" ht="15" hidden="false" customHeight="true" outlineLevel="0" collapsed="false">
      <c r="A197" s="4"/>
      <c r="B197" s="5"/>
      <c r="C197" s="5"/>
      <c r="D197" s="4"/>
      <c r="E197" s="4" t="n">
        <v>0</v>
      </c>
      <c r="F197" s="18" t="n">
        <f aca="false">TIME(15,23,0)</f>
        <v>0.640972222222222</v>
      </c>
      <c r="G197" s="18" t="n">
        <f aca="false">TIME(15,29,0)</f>
        <v>0.645138888888889</v>
      </c>
      <c r="H197" s="7" t="n">
        <f aca="false">E197*(G197-F197)*24</f>
        <v>0</v>
      </c>
      <c r="I197" s="7" t="n">
        <f aca="false">(C197-B197)*24</f>
        <v>0</v>
      </c>
      <c r="J197" s="7" t="n">
        <f aca="false">(G197-F197)*24</f>
        <v>0.1</v>
      </c>
    </row>
    <row r="198" customFormat="false" ht="15" hidden="false" customHeight="true" outlineLevel="0" collapsed="false">
      <c r="A198" s="4"/>
      <c r="B198" s="5"/>
      <c r="C198" s="5"/>
      <c r="D198" s="4"/>
      <c r="E198" s="4" t="n">
        <v>0.01</v>
      </c>
      <c r="F198" s="18" t="n">
        <f aca="false">TIME(15,43,0)</f>
        <v>0.654861111111111</v>
      </c>
      <c r="G198" s="18" t="n">
        <f aca="false">TIME(15,49,0)</f>
        <v>0.659027777777778</v>
      </c>
      <c r="H198" s="7" t="n">
        <f aca="false">E198*(G198-F198)*24</f>
        <v>0.001</v>
      </c>
      <c r="I198" s="7" t="n">
        <f aca="false">(C198-B198)*24</f>
        <v>0</v>
      </c>
      <c r="J198" s="7" t="n">
        <f aca="false">(G198-F198)*24</f>
        <v>0.1</v>
      </c>
    </row>
    <row r="199" customFormat="false" ht="15" hidden="false" customHeight="true" outlineLevel="0" collapsed="false">
      <c r="A199" s="4"/>
      <c r="B199" s="5"/>
      <c r="C199" s="5"/>
      <c r="D199" s="4"/>
      <c r="E199" s="4" t="n">
        <v>0</v>
      </c>
      <c r="F199" s="18" t="n">
        <f aca="false">TIME(15,49,0)</f>
        <v>0.659027777777778</v>
      </c>
      <c r="G199" s="18" t="n">
        <f aca="false">TIME(15,55,0)</f>
        <v>0.663194444444444</v>
      </c>
      <c r="H199" s="7" t="n">
        <f aca="false">E199*(G199-F199)*24</f>
        <v>0</v>
      </c>
      <c r="I199" s="7" t="n">
        <f aca="false">(C199-B199)*24</f>
        <v>0</v>
      </c>
      <c r="J199" s="7" t="n">
        <f aca="false">(G199-F199)*24</f>
        <v>0.1</v>
      </c>
    </row>
    <row r="200" customFormat="false" ht="15" hidden="false" customHeight="true" outlineLevel="0" collapsed="false">
      <c r="A200" s="4"/>
      <c r="B200" s="5"/>
      <c r="C200" s="5"/>
      <c r="D200" s="4"/>
      <c r="E200" s="4" t="n">
        <v>0.01</v>
      </c>
      <c r="F200" s="18" t="n">
        <f aca="false">TIME(16,7,0)</f>
        <v>0.671527777777778</v>
      </c>
      <c r="G200" s="18" t="n">
        <f aca="false">TIME(16,11,0)</f>
        <v>0.674305555555556</v>
      </c>
      <c r="H200" s="7" t="n">
        <f aca="false">E200*(G200-F200)*24</f>
        <v>0.00066666667</v>
      </c>
      <c r="I200" s="7" t="n">
        <f aca="false">(C200-B200)*24</f>
        <v>0</v>
      </c>
      <c r="J200" s="7" t="n">
        <f aca="false">(G200-F200)*24</f>
        <v>0.066666667</v>
      </c>
    </row>
    <row r="201" customFormat="false" ht="15" hidden="false" customHeight="true" outlineLevel="0" collapsed="false">
      <c r="A201" s="24" t="n">
        <v>36199</v>
      </c>
      <c r="B201" s="5" t="n">
        <f aca="false">TIME(10,55,0)</f>
        <v>0.454861111111111</v>
      </c>
      <c r="C201" s="5" t="n">
        <f aca="false">TIME(12,16,0)</f>
        <v>0.511111111111111</v>
      </c>
      <c r="D201" s="4" t="s">
        <v>48</v>
      </c>
      <c r="E201" s="4" t="n">
        <v>0.01</v>
      </c>
      <c r="F201" s="18" t="n">
        <f aca="false">TIME(11,53,0)</f>
        <v>0.495138888888889</v>
      </c>
      <c r="G201" s="18" t="n">
        <f aca="false">TIME(11,54,0)</f>
        <v>0.495833333333333</v>
      </c>
      <c r="H201" s="7" t="n">
        <f aca="false">E201*(G201-F201)*24</f>
        <v>0.00016666667</v>
      </c>
      <c r="I201" s="7" t="n">
        <f aca="false">(C201-B201)*24</f>
        <v>1.35</v>
      </c>
      <c r="J201" s="7" t="n">
        <f aca="false">(G201-F201)*24</f>
        <v>0.016666667</v>
      </c>
    </row>
    <row r="202" customFormat="false" ht="15" hidden="false" customHeight="true" outlineLevel="0" collapsed="false">
      <c r="A202" s="4"/>
      <c r="B202" s="5"/>
      <c r="C202" s="5"/>
      <c r="D202" s="4"/>
      <c r="E202" s="4" t="n">
        <v>0.5</v>
      </c>
      <c r="F202" s="18" t="n">
        <f aca="false">TIME(12,1,0)</f>
        <v>0.500694444444444</v>
      </c>
      <c r="G202" s="18" t="n">
        <f aca="false">TIME(12,11,0)</f>
        <v>0.507638888888889</v>
      </c>
      <c r="H202" s="7" t="n">
        <f aca="false">E202*(G202-F202)*24</f>
        <v>0.083333333</v>
      </c>
      <c r="I202" s="7" t="n">
        <f aca="false">(C202-B202)*24</f>
        <v>0</v>
      </c>
      <c r="J202" s="7" t="n">
        <f aca="false">(G202-F202)*24</f>
        <v>0.16666667</v>
      </c>
    </row>
    <row r="203" customFormat="false" ht="15" hidden="false" customHeight="true" outlineLevel="0" collapsed="false">
      <c r="A203" s="24" t="n">
        <v>36200</v>
      </c>
      <c r="B203" s="5" t="n">
        <f aca="false">TIME(13,27,0)</f>
        <v>0.560416666666667</v>
      </c>
      <c r="C203" s="5" t="n">
        <f aca="false">TIME(16,6,0)</f>
        <v>0.670833333333333</v>
      </c>
      <c r="D203" s="4" t="n">
        <v>4</v>
      </c>
      <c r="E203" s="4" t="n">
        <v>0.01</v>
      </c>
      <c r="F203" s="18" t="n">
        <f aca="false">TIME(14,5,0)</f>
        <v>0.586805555555556</v>
      </c>
      <c r="G203" s="18" t="n">
        <f aca="false">TIME(14,8,0)</f>
        <v>0.588888888888889</v>
      </c>
      <c r="H203" s="7" t="n">
        <f aca="false">E203*(G203-F203)*24</f>
        <v>0.0005</v>
      </c>
      <c r="I203" s="7" t="n">
        <f aca="false">(C203-B203)*24</f>
        <v>2.65</v>
      </c>
      <c r="J203" s="7" t="n">
        <f aca="false">(G203-F203)*24</f>
        <v>0.05</v>
      </c>
    </row>
    <row r="204" customFormat="false" ht="15" hidden="false" customHeight="true" outlineLevel="0" collapsed="false">
      <c r="A204" s="4"/>
      <c r="B204" s="5"/>
      <c r="C204" s="5"/>
      <c r="D204" s="4"/>
      <c r="E204" s="4" t="n">
        <v>50</v>
      </c>
      <c r="F204" s="18" t="n">
        <f aca="false">TIME(14,20,0)</f>
        <v>0.597222222222222</v>
      </c>
      <c r="G204" s="18" t="n">
        <f aca="false">TIME(14,22,0)</f>
        <v>0.598611111111111</v>
      </c>
      <c r="H204" s="7" t="n">
        <f aca="false">E204*(G204-F204)*24</f>
        <v>1.6666667</v>
      </c>
      <c r="I204" s="7" t="n">
        <f aca="false">(C204-B204)*24</f>
        <v>0</v>
      </c>
      <c r="J204" s="7" t="n">
        <f aca="false">(G204-F204)*24</f>
        <v>0.033333333</v>
      </c>
    </row>
    <row r="205" customFormat="false" ht="15" hidden="false" customHeight="true" outlineLevel="0" collapsed="false">
      <c r="A205" s="4"/>
      <c r="B205" s="5"/>
      <c r="C205" s="5"/>
      <c r="D205" s="4"/>
      <c r="E205" s="4" t="n">
        <v>180</v>
      </c>
      <c r="F205" s="18" t="n">
        <f aca="false">TIME(14,28,0)</f>
        <v>0.602777777777778</v>
      </c>
      <c r="G205" s="18" t="n">
        <f aca="false">TIME(16,1,0)</f>
        <v>0.667361111111111</v>
      </c>
      <c r="H205" s="7" t="n">
        <f aca="false">E205*(G205-F205)*24</f>
        <v>279</v>
      </c>
      <c r="I205" s="7" t="n">
        <f aca="false">(C205-B205)*24</f>
        <v>0</v>
      </c>
      <c r="J205" s="7" t="n">
        <f aca="false">(G205-F205)*24</f>
        <v>1.55</v>
      </c>
    </row>
    <row r="206" customFormat="false" ht="15" hidden="false" customHeight="true" outlineLevel="0" collapsed="false">
      <c r="A206" s="24" t="n">
        <v>36202</v>
      </c>
      <c r="B206" s="5" t="n">
        <f aca="false">TIME(10,44,0)</f>
        <v>0.447222222222222</v>
      </c>
      <c r="C206" s="5" t="n">
        <f aca="false">TIME(12,26,0)</f>
        <v>0.518055555555556</v>
      </c>
      <c r="D206" s="4" t="s">
        <v>50</v>
      </c>
      <c r="E206" s="4" t="n">
        <v>0.01</v>
      </c>
      <c r="F206" s="18" t="n">
        <f aca="false">TIME(11,24,0)</f>
        <v>0.475</v>
      </c>
      <c r="G206" s="18" t="n">
        <f aca="false">TIME(11,27,0)</f>
        <v>0.477083333333333</v>
      </c>
      <c r="H206" s="7" t="n">
        <f aca="false">E206*(G206-F206)*24</f>
        <v>0.0005</v>
      </c>
      <c r="I206" s="7" t="n">
        <f aca="false">(C206-B206)*24</f>
        <v>1.7</v>
      </c>
      <c r="J206" s="7" t="n">
        <f aca="false">(G206-F206)*24</f>
        <v>0.05</v>
      </c>
    </row>
    <row r="207" customFormat="false" ht="15" hidden="false" customHeight="true" outlineLevel="0" collapsed="false">
      <c r="A207" s="24"/>
      <c r="B207" s="5"/>
      <c r="C207" s="5"/>
      <c r="D207" s="4"/>
      <c r="E207" s="4" t="n">
        <v>10</v>
      </c>
      <c r="F207" s="18" t="n">
        <f aca="false">TIME(11,38,0)</f>
        <v>0.484722222222222</v>
      </c>
      <c r="G207" s="18" t="n">
        <f aca="false">TIME(11,41,0)</f>
        <v>0.486805555555556</v>
      </c>
      <c r="H207" s="7" t="n">
        <f aca="false">E207*(G207-F207)*24</f>
        <v>0.5</v>
      </c>
      <c r="I207" s="7" t="n">
        <f aca="false">(C207-B207)*24</f>
        <v>0</v>
      </c>
      <c r="J207" s="7" t="n">
        <f aca="false">(G207-F207)*24</f>
        <v>0.05</v>
      </c>
    </row>
    <row r="208" customFormat="false" ht="15" hidden="false" customHeight="true" outlineLevel="0" collapsed="false">
      <c r="A208" s="4"/>
      <c r="B208" s="5"/>
      <c r="C208" s="5"/>
      <c r="D208" s="4"/>
      <c r="E208" s="4" t="n">
        <v>180</v>
      </c>
      <c r="F208" s="18" t="n">
        <f aca="false">TIME(11,46,0)</f>
        <v>0.490277777777778</v>
      </c>
      <c r="G208" s="18" t="n">
        <f aca="false">TIME(12,21,0)</f>
        <v>0.514583333333333</v>
      </c>
      <c r="H208" s="7" t="n">
        <f aca="false">E208*(G208-F208)*24</f>
        <v>105</v>
      </c>
      <c r="I208" s="7" t="n">
        <f aca="false">(C208-B208)*24</f>
        <v>0</v>
      </c>
      <c r="J208" s="7" t="n">
        <f aca="false">(G208-F208)*24</f>
        <v>0.58333333</v>
      </c>
    </row>
    <row r="209" customFormat="false" ht="15" hidden="false" customHeight="true" outlineLevel="0" collapsed="false">
      <c r="A209" s="24" t="n">
        <v>36202</v>
      </c>
      <c r="B209" s="5" t="n">
        <f aca="false">TIME(12,45,0)</f>
        <v>0.53125</v>
      </c>
      <c r="C209" s="5" t="n">
        <f aca="false">TIME(14,36,0)</f>
        <v>0.608333333333333</v>
      </c>
      <c r="D209" s="4" t="s">
        <v>39</v>
      </c>
      <c r="E209" s="4" t="n">
        <v>0.01</v>
      </c>
      <c r="F209" s="18" t="n">
        <f aca="false">TIME(14,17,0)</f>
        <v>0.595138888888889</v>
      </c>
      <c r="G209" s="18" t="n">
        <f aca="false">TIME(14,31,0)</f>
        <v>0.604861111111111</v>
      </c>
      <c r="H209" s="7" t="n">
        <f aca="false">E209*(G209-F209)*24</f>
        <v>0.0023333333</v>
      </c>
      <c r="I209" s="7" t="n">
        <f aca="false">(C209-B209)*24</f>
        <v>1.85</v>
      </c>
      <c r="J209" s="7" t="n">
        <f aca="false">(G209-F209)*24</f>
        <v>0.23333333</v>
      </c>
    </row>
    <row r="210" customFormat="false" ht="15" hidden="false" customHeight="true" outlineLevel="0" collapsed="false">
      <c r="A210" s="24" t="n">
        <v>36202</v>
      </c>
      <c r="B210" s="5" t="n">
        <f aca="false">TIME(14,43,0)</f>
        <v>0.613194444444445</v>
      </c>
      <c r="C210" s="5" t="n">
        <f aca="false">TIME(16,58,0)</f>
        <v>0.706944444444445</v>
      </c>
      <c r="D210" s="4" t="s">
        <v>39</v>
      </c>
      <c r="E210" s="4" t="n">
        <v>0.01</v>
      </c>
      <c r="F210" s="18" t="n">
        <f aca="false">TIME(16,44,0)</f>
        <v>0.697222222222222</v>
      </c>
      <c r="G210" s="18" t="n">
        <f aca="false">TIME(16,53,0)</f>
        <v>0.703472222222222</v>
      </c>
      <c r="H210" s="7" t="n">
        <f aca="false">E210*(G210-F210)*24</f>
        <v>0.0015</v>
      </c>
      <c r="I210" s="7" t="n">
        <f aca="false">(C210-B210)*24</f>
        <v>2.25</v>
      </c>
      <c r="J210" s="7" t="n">
        <f aca="false">(G210-F210)*24</f>
        <v>0.15</v>
      </c>
    </row>
    <row r="211" customFormat="false" ht="15" hidden="false" customHeight="true" outlineLevel="0" collapsed="false">
      <c r="A211" s="24" t="n">
        <v>36203</v>
      </c>
      <c r="B211" s="5" t="n">
        <f aca="false">TIME(10,21,0)</f>
        <v>0.43125</v>
      </c>
      <c r="C211" s="5" t="n">
        <f aca="false">TIME(14,42,0)</f>
        <v>0.6125</v>
      </c>
      <c r="D211" s="4" t="s">
        <v>49</v>
      </c>
      <c r="E211" s="4" t="n">
        <v>0.01</v>
      </c>
      <c r="F211" s="18" t="n">
        <f aca="false">TIME(11,7,0)</f>
        <v>0.463194444444444</v>
      </c>
      <c r="G211" s="18" t="n">
        <f aca="false">TIME(11,15,0)</f>
        <v>0.46875</v>
      </c>
      <c r="H211" s="7" t="n">
        <f aca="false">E211*(G211-F211)*24</f>
        <v>0.0013333333</v>
      </c>
      <c r="I211" s="7" t="n">
        <f aca="false">(C211-B211)*24</f>
        <v>4.35</v>
      </c>
      <c r="J211" s="7" t="n">
        <f aca="false">(G211-F211)*24</f>
        <v>0.13333333</v>
      </c>
    </row>
    <row r="212" customFormat="false" ht="15" hidden="false" customHeight="true" outlineLevel="0" collapsed="false">
      <c r="A212" s="24"/>
      <c r="B212" s="5"/>
      <c r="C212" s="5"/>
      <c r="D212" s="4"/>
      <c r="E212" s="4" t="n">
        <v>0</v>
      </c>
      <c r="F212" s="18" t="n">
        <f aca="false">TIME(11,15,0)</f>
        <v>0.46875</v>
      </c>
      <c r="G212" s="18" t="n">
        <f aca="false">TIME(13,1,0)</f>
        <v>0.542361111111111</v>
      </c>
      <c r="H212" s="7" t="n">
        <f aca="false">E212*(G212-F212)*24</f>
        <v>0</v>
      </c>
      <c r="I212" s="7" t="n">
        <f aca="false">(C212-B212)*24</f>
        <v>0</v>
      </c>
      <c r="J212" s="7" t="n">
        <f aca="false">(G212-F212)*24</f>
        <v>1.7666667</v>
      </c>
    </row>
    <row r="213" customFormat="false" ht="15" hidden="false" customHeight="true" outlineLevel="0" collapsed="false">
      <c r="A213" s="4"/>
      <c r="B213" s="5"/>
      <c r="C213" s="5"/>
      <c r="D213" s="4"/>
      <c r="E213" s="4" t="n">
        <v>0.01</v>
      </c>
      <c r="F213" s="18" t="n">
        <f aca="false">TIME(13,11,0)</f>
        <v>0.549305555555556</v>
      </c>
      <c r="G213" s="18" t="n">
        <f aca="false">TIME(13,13,0)</f>
        <v>0.550694444444445</v>
      </c>
      <c r="H213" s="7" t="n">
        <f aca="false">E213*(G213-F213)*24</f>
        <v>0.00033333333</v>
      </c>
      <c r="I213" s="7" t="n">
        <f aca="false">(C213-B213)*24</f>
        <v>0</v>
      </c>
      <c r="J213" s="7" t="n">
        <f aca="false">(G213-F213)*24</f>
        <v>0.033333333</v>
      </c>
    </row>
    <row r="214" customFormat="false" ht="15" hidden="false" customHeight="true" outlineLevel="0" collapsed="false">
      <c r="A214" s="4"/>
      <c r="B214" s="5"/>
      <c r="C214" s="5"/>
      <c r="D214" s="4"/>
      <c r="E214" s="4" t="n">
        <v>100</v>
      </c>
      <c r="F214" s="18" t="n">
        <f aca="false">TIME(13,23,0)</f>
        <v>0.557638888888889</v>
      </c>
      <c r="G214" s="18" t="n">
        <f aca="false">TIME(13,27,0)</f>
        <v>0.560416666666667</v>
      </c>
      <c r="H214" s="7" t="n">
        <f aca="false">E214*(G214-F214)*24</f>
        <v>6.6666667</v>
      </c>
      <c r="I214" s="7" t="n">
        <f aca="false">(C214-B214)*24</f>
        <v>0</v>
      </c>
      <c r="J214" s="7" t="n">
        <f aca="false">(G214-F214)*24</f>
        <v>0.066666667</v>
      </c>
    </row>
    <row r="215" customFormat="false" ht="15" hidden="false" customHeight="true" outlineLevel="0" collapsed="false">
      <c r="A215" s="4"/>
      <c r="B215" s="5"/>
      <c r="C215" s="5"/>
      <c r="D215" s="4"/>
      <c r="E215" s="4" t="n">
        <v>180</v>
      </c>
      <c r="F215" s="18" t="n">
        <f aca="false">TIME(13,30,0)</f>
        <v>0.5625</v>
      </c>
      <c r="G215" s="18" t="n">
        <f aca="false">TIME(14,37,0)</f>
        <v>0.609027777777778</v>
      </c>
      <c r="H215" s="7" t="n">
        <f aca="false">E215*(G215-F215)*24</f>
        <v>201</v>
      </c>
      <c r="I215" s="7" t="n">
        <f aca="false">(C215-B215)*24</f>
        <v>0</v>
      </c>
      <c r="J215" s="7" t="n">
        <f aca="false">(G215-F215)*24</f>
        <v>1.1166667</v>
      </c>
    </row>
    <row r="216" customFormat="false" ht="15" hidden="false" customHeight="true" outlineLevel="0" collapsed="false">
      <c r="A216" s="24" t="n">
        <v>36208</v>
      </c>
      <c r="B216" s="5" t="n">
        <f aca="false">TIME(8,58,0)</f>
        <v>0.373611111111111</v>
      </c>
      <c r="C216" s="5" t="n">
        <f aca="false">TIME(16,20,0)</f>
        <v>0.680555555555556</v>
      </c>
      <c r="D216" s="4" t="n">
        <v>2</v>
      </c>
      <c r="E216" s="4" t="n">
        <v>0.01</v>
      </c>
      <c r="F216" s="18" t="n">
        <f aca="false">TIME(9,50,0)</f>
        <v>0.409722222222222</v>
      </c>
      <c r="G216" s="18" t="n">
        <f aca="false">TIME(9,56,0)</f>
        <v>0.413888888888889</v>
      </c>
      <c r="H216" s="7" t="n">
        <f aca="false">E216*(G216-F216)*24</f>
        <v>0.001</v>
      </c>
      <c r="I216" s="7" t="n">
        <f aca="false">(C216-B216)*24</f>
        <v>7.3666667</v>
      </c>
      <c r="J216" s="7" t="n">
        <f aca="false">(G216-F216)*24</f>
        <v>0.1</v>
      </c>
    </row>
    <row r="217" customFormat="false" ht="15" hidden="false" customHeight="true" outlineLevel="0" collapsed="false">
      <c r="A217" s="4"/>
      <c r="B217" s="5"/>
      <c r="C217" s="5"/>
      <c r="D217" s="4"/>
      <c r="E217" s="4" t="n">
        <v>20</v>
      </c>
      <c r="F217" s="18" t="n">
        <f aca="false">TIME(10,6,0)</f>
        <v>0.420833333333333</v>
      </c>
      <c r="G217" s="18" t="n">
        <f aca="false">TIME(10,9,0)</f>
        <v>0.422916666666667</v>
      </c>
      <c r="H217" s="7" t="n">
        <f aca="false">E217*(G217-F217)*24</f>
        <v>1</v>
      </c>
      <c r="I217" s="7" t="n">
        <f aca="false">(C217-B217)*24</f>
        <v>0</v>
      </c>
      <c r="J217" s="7" t="n">
        <f aca="false">(G217-F217)*24</f>
        <v>0.05</v>
      </c>
    </row>
    <row r="218" customFormat="false" ht="15" hidden="false" customHeight="true" outlineLevel="0" collapsed="false">
      <c r="A218" s="4"/>
      <c r="B218" s="5"/>
      <c r="C218" s="5"/>
      <c r="D218" s="4"/>
      <c r="E218" s="4" t="n">
        <v>200</v>
      </c>
      <c r="F218" s="18" t="n">
        <f aca="false">TIME(10,16,0)</f>
        <v>0.427777777777778</v>
      </c>
      <c r="G218" s="18" t="n">
        <f aca="false">TIME(10,19,0)</f>
        <v>0.429861111111111</v>
      </c>
      <c r="H218" s="7" t="n">
        <f aca="false">E218*(G218-F218)*24</f>
        <v>10</v>
      </c>
      <c r="I218" s="7" t="n">
        <f aca="false">(C218-B218)*24</f>
        <v>0</v>
      </c>
      <c r="J218" s="7" t="n">
        <f aca="false">(G218-F218)*24</f>
        <v>0.05</v>
      </c>
    </row>
    <row r="219" customFormat="false" ht="15" hidden="false" customHeight="true" outlineLevel="0" collapsed="false">
      <c r="A219" s="4"/>
      <c r="B219" s="5"/>
      <c r="C219" s="5"/>
      <c r="D219" s="4"/>
      <c r="E219" s="4" t="n">
        <v>0</v>
      </c>
      <c r="F219" s="18" t="n">
        <f aca="false">TIME(10,19,0)</f>
        <v>0.429861111111111</v>
      </c>
      <c r="G219" s="18" t="n">
        <f aca="false">TIME(14,11,0)</f>
        <v>0.590972222222222</v>
      </c>
      <c r="H219" s="7" t="n">
        <f aca="false">E219*(G219-F219)*24</f>
        <v>0</v>
      </c>
      <c r="I219" s="7" t="n">
        <f aca="false">(C219-B219)*24</f>
        <v>0</v>
      </c>
      <c r="J219" s="7" t="n">
        <f aca="false">(G219-F219)*24</f>
        <v>3.8666667</v>
      </c>
    </row>
    <row r="220" customFormat="false" ht="15" hidden="false" customHeight="true" outlineLevel="0" collapsed="false">
      <c r="A220" s="24"/>
      <c r="B220" s="5"/>
      <c r="C220" s="5"/>
      <c r="D220" s="4"/>
      <c r="E220" s="4" t="n">
        <v>0.1</v>
      </c>
      <c r="F220" s="18" t="n">
        <f aca="false">TIME(14,29,0)</f>
        <v>0.603472222222222</v>
      </c>
      <c r="G220" s="18" t="n">
        <f aca="false">TIME(14,43,0)</f>
        <v>0.613194444444445</v>
      </c>
      <c r="H220" s="7" t="n">
        <f aca="false">E220*(G220-F220)*24</f>
        <v>0.023333333</v>
      </c>
      <c r="I220" s="7" t="n">
        <f aca="false">(C220-B220)*24</f>
        <v>0</v>
      </c>
      <c r="J220" s="7" t="n">
        <f aca="false">(G220-F220)*24</f>
        <v>0.23333333</v>
      </c>
    </row>
    <row r="221" customFormat="false" ht="15" hidden="false" customHeight="true" outlineLevel="0" collapsed="false">
      <c r="A221" s="4"/>
      <c r="B221" s="5"/>
      <c r="C221" s="5"/>
      <c r="D221" s="4"/>
      <c r="E221" s="4" t="n">
        <v>0.2</v>
      </c>
      <c r="F221" s="18" t="n">
        <f aca="false">TIME(14,54,0)</f>
        <v>0.620833333333333</v>
      </c>
      <c r="G221" s="18" t="n">
        <f aca="false">TIME(15,0,0)</f>
        <v>0.625</v>
      </c>
      <c r="H221" s="7" t="n">
        <f aca="false">E221*(G221-F221)*24</f>
        <v>0.02</v>
      </c>
      <c r="I221" s="7" t="n">
        <f aca="false">(C221-B221)*24</f>
        <v>0</v>
      </c>
      <c r="J221" s="7" t="n">
        <f aca="false">(G221-F221)*24</f>
        <v>0.1</v>
      </c>
    </row>
    <row r="222" customFormat="false" ht="15" hidden="false" customHeight="true" outlineLevel="0" collapsed="false">
      <c r="A222" s="4"/>
      <c r="B222" s="5"/>
      <c r="C222" s="5"/>
      <c r="D222" s="4"/>
      <c r="E222" s="4" t="n">
        <v>0.1</v>
      </c>
      <c r="F222" s="18" t="n">
        <f aca="false">TIME(15,5,0)</f>
        <v>0.628472222222222</v>
      </c>
      <c r="G222" s="18" t="n">
        <f aca="false">TIME(15,16,0)</f>
        <v>0.636111111111111</v>
      </c>
      <c r="H222" s="7" t="n">
        <f aca="false">E222*(G222-F222)*24</f>
        <v>0.018333333</v>
      </c>
      <c r="I222" s="7" t="n">
        <f aca="false">(C222-B222)*24</f>
        <v>0</v>
      </c>
      <c r="J222" s="7" t="n">
        <f aca="false">(G222-F222)*24</f>
        <v>0.18333333</v>
      </c>
    </row>
    <row r="223" customFormat="false" ht="15" hidden="false" customHeight="true" outlineLevel="0" collapsed="false">
      <c r="A223" s="4"/>
      <c r="B223" s="5"/>
      <c r="C223" s="5"/>
      <c r="D223" s="4"/>
      <c r="E223" s="4" t="n">
        <v>0.2</v>
      </c>
      <c r="F223" s="18" t="n">
        <f aca="false">TIME(15,27,0)</f>
        <v>0.64375</v>
      </c>
      <c r="G223" s="18" t="n">
        <f aca="false">TIME(15,42,0)</f>
        <v>0.654166666666667</v>
      </c>
      <c r="H223" s="7" t="n">
        <f aca="false">E223*(G223-F223)*24</f>
        <v>0.05</v>
      </c>
      <c r="I223" s="7" t="n">
        <f aca="false">(C223-B223)*24</f>
        <v>0</v>
      </c>
      <c r="J223" s="7" t="n">
        <f aca="false">(G223-F223)*24</f>
        <v>0.25</v>
      </c>
    </row>
    <row r="224" customFormat="false" ht="15" hidden="false" customHeight="true" outlineLevel="0" collapsed="false">
      <c r="A224" s="4"/>
      <c r="B224" s="5"/>
      <c r="C224" s="5"/>
      <c r="D224" s="4"/>
      <c r="E224" s="4" t="n">
        <v>0.1</v>
      </c>
      <c r="F224" s="18" t="n">
        <f aca="false">TIME(15,51,0)</f>
        <v>0.660416666666667</v>
      </c>
      <c r="G224" s="18" t="n">
        <f aca="false">TIME(16,15,0)</f>
        <v>0.677083333333333</v>
      </c>
      <c r="H224" s="7" t="n">
        <f aca="false">E224*(G224-F224)*24</f>
        <v>0.04</v>
      </c>
      <c r="I224" s="7" t="n">
        <f aca="false">(C224-B224)*24</f>
        <v>0</v>
      </c>
      <c r="J224" s="7" t="n">
        <f aca="false">(G224-F224)*24</f>
        <v>0.4</v>
      </c>
    </row>
    <row r="225" customFormat="false" ht="15" hidden="false" customHeight="true" outlineLevel="0" collapsed="false">
      <c r="A225" s="24" t="n">
        <v>36209</v>
      </c>
      <c r="B225" s="5" t="n">
        <f aca="false">TIME(12,34,0)</f>
        <v>0.523611111111111</v>
      </c>
      <c r="C225" s="5" t="n">
        <f aca="false">TIME(15,37,0)</f>
        <v>0.650694444444445</v>
      </c>
      <c r="D225" s="4" t="s">
        <v>39</v>
      </c>
      <c r="E225" s="4" t="n">
        <v>0.01</v>
      </c>
      <c r="F225" s="18" t="n">
        <f aca="false">TIME(14,9,0)</f>
        <v>0.589583333333333</v>
      </c>
      <c r="G225" s="18" t="n">
        <f aca="false">TIME(14,17,0)</f>
        <v>0.595138888888889</v>
      </c>
      <c r="H225" s="7" t="n">
        <f aca="false">E225*(G225-F225)*24</f>
        <v>0.0013333333</v>
      </c>
      <c r="I225" s="7" t="n">
        <f aca="false">(C225-B225)*24</f>
        <v>3.05</v>
      </c>
      <c r="J225" s="7" t="n">
        <f aca="false">(G225-F225)*24</f>
        <v>0.13333333</v>
      </c>
    </row>
    <row r="226" customFormat="false" ht="15" hidden="false" customHeight="true" outlineLevel="0" collapsed="false">
      <c r="A226" s="4"/>
      <c r="B226" s="5"/>
      <c r="C226" s="5"/>
      <c r="D226" s="4"/>
      <c r="E226" s="4" t="n">
        <v>0.1</v>
      </c>
      <c r="F226" s="18" t="n">
        <f aca="false">TIME(14,26,0)</f>
        <v>0.601388888888889</v>
      </c>
      <c r="G226" s="18" t="n">
        <f aca="false">TIME(14,48,0)</f>
        <v>0.616666666666667</v>
      </c>
      <c r="H226" s="7" t="n">
        <f aca="false">E226*(G226-F226)*24</f>
        <v>0.036666667</v>
      </c>
      <c r="I226" s="7" t="n">
        <f aca="false">(C226-B226)*24</f>
        <v>0</v>
      </c>
      <c r="J226" s="7" t="n">
        <f aca="false">(G226-F226)*24</f>
        <v>0.36666667</v>
      </c>
    </row>
    <row r="227" customFormat="false" ht="15" hidden="false" customHeight="true" outlineLevel="0" collapsed="false">
      <c r="A227" s="4"/>
      <c r="B227" s="5"/>
      <c r="C227" s="5"/>
      <c r="D227" s="4"/>
      <c r="E227" s="4" t="n">
        <v>1</v>
      </c>
      <c r="F227" s="18" t="n">
        <f aca="false">TIME(15,0,0)</f>
        <v>0.625</v>
      </c>
      <c r="G227" s="18" t="n">
        <f aca="false">TIME(15,11,0)</f>
        <v>0.632638888888889</v>
      </c>
      <c r="H227" s="7" t="n">
        <f aca="false">E227*(G227-F227)*24</f>
        <v>0.18333333</v>
      </c>
      <c r="I227" s="7" t="n">
        <f aca="false">(C227-B227)*24</f>
        <v>0</v>
      </c>
      <c r="J227" s="7" t="n">
        <f aca="false">(G227-F227)*24</f>
        <v>0.18333333</v>
      </c>
    </row>
    <row r="228" customFormat="false" ht="15" hidden="false" customHeight="true" outlineLevel="0" collapsed="false">
      <c r="A228" s="24"/>
      <c r="B228" s="5"/>
      <c r="C228" s="5"/>
      <c r="D228" s="4"/>
      <c r="E228" s="4" t="n">
        <v>0.1</v>
      </c>
      <c r="F228" s="18" t="n">
        <f aca="false">TIME(15,21,0)</f>
        <v>0.639583333333333</v>
      </c>
      <c r="G228" s="18" t="n">
        <f aca="false">TIME(15,32,0)</f>
        <v>0.647222222222222</v>
      </c>
      <c r="H228" s="7" t="n">
        <f aca="false">E228*(G228-F228)*24</f>
        <v>0.018333333</v>
      </c>
      <c r="I228" s="7" t="n">
        <f aca="false">(C228-B228)*24</f>
        <v>0</v>
      </c>
      <c r="J228" s="7" t="n">
        <f aca="false">(G228-F228)*24</f>
        <v>0.18333333</v>
      </c>
    </row>
    <row r="229" customFormat="false" ht="15" hidden="false" customHeight="true" outlineLevel="0" collapsed="false">
      <c r="A229" s="24" t="n">
        <v>36210</v>
      </c>
      <c r="B229" s="5" t="n">
        <f aca="false">TIME(9,4,0)</f>
        <v>0.377777777777778</v>
      </c>
      <c r="C229" s="5" t="n">
        <f aca="false">TIME(13,48,0)</f>
        <v>0.575</v>
      </c>
      <c r="D229" s="4" t="s">
        <v>49</v>
      </c>
      <c r="E229" s="4" t="n">
        <v>0.01</v>
      </c>
      <c r="F229" s="18" t="n">
        <f aca="false">TIME(9,36,0)</f>
        <v>0.4</v>
      </c>
      <c r="G229" s="18" t="n">
        <f aca="false">TIME(9,38,0)</f>
        <v>0.401388888888889</v>
      </c>
      <c r="H229" s="7" t="n">
        <f aca="false">E229*(G229-F229)*24</f>
        <v>0.00033333333</v>
      </c>
      <c r="I229" s="7" t="n">
        <f aca="false">(C229-B229)*24</f>
        <v>4.7333333</v>
      </c>
      <c r="J229" s="7" t="n">
        <f aca="false">(G229-F229)*24</f>
        <v>0.033333333</v>
      </c>
    </row>
    <row r="230" customFormat="false" ht="15" hidden="false" customHeight="true" outlineLevel="0" collapsed="false">
      <c r="A230" s="4"/>
      <c r="B230" s="5"/>
      <c r="C230" s="5"/>
      <c r="D230" s="4"/>
      <c r="E230" s="4" t="n">
        <v>10</v>
      </c>
      <c r="F230" s="18" t="n">
        <f aca="false">TIME(9,46,0)</f>
        <v>0.406944444444444</v>
      </c>
      <c r="G230" s="18" t="n">
        <f aca="false">TIME(9,47,0)</f>
        <v>0.407638888888889</v>
      </c>
      <c r="H230" s="7" t="n">
        <f aca="false">E230*(G230-F230)*24</f>
        <v>0.16666667</v>
      </c>
      <c r="I230" s="7" t="n">
        <f aca="false">(C230-B230)*24</f>
        <v>0</v>
      </c>
      <c r="J230" s="7" t="n">
        <f aca="false">(G230-F230)*24</f>
        <v>0.016666667</v>
      </c>
    </row>
    <row r="231" customFormat="false" ht="15" hidden="false" customHeight="true" outlineLevel="0" collapsed="false">
      <c r="A231" s="24"/>
      <c r="B231" s="5"/>
      <c r="C231" s="5"/>
      <c r="D231" s="4"/>
      <c r="E231" s="4" t="n">
        <v>180</v>
      </c>
      <c r="F231" s="18" t="n">
        <f aca="false">TIME(9,52,0)</f>
        <v>0.411111111111111</v>
      </c>
      <c r="G231" s="18" t="n">
        <f aca="false">TIME(13,43,0)</f>
        <v>0.571527777777778</v>
      </c>
      <c r="H231" s="7" t="n">
        <f aca="false">E231*(G231-F231)*24</f>
        <v>693</v>
      </c>
      <c r="I231" s="7" t="n">
        <f aca="false">(C231-B231)*24</f>
        <v>0</v>
      </c>
      <c r="J231" s="7" t="n">
        <f aca="false">(G231-F231)*24</f>
        <v>3.85</v>
      </c>
    </row>
    <row r="232" customFormat="false" ht="15" hidden="false" customHeight="true" outlineLevel="0" collapsed="false">
      <c r="A232" s="24" t="n">
        <v>36213</v>
      </c>
      <c r="B232" s="5" t="n">
        <f aca="false">TIME(14,21,0)</f>
        <v>0.597916666666667</v>
      </c>
      <c r="C232" s="5" t="n">
        <f aca="false">TIME(16,9,0)</f>
        <v>0.672916666666667</v>
      </c>
      <c r="D232" s="4" t="n">
        <v>2</v>
      </c>
      <c r="E232" s="4" t="n">
        <v>0.02</v>
      </c>
      <c r="F232" s="18" t="n">
        <f aca="false">TIME(15,5,0)</f>
        <v>0.628472222222222</v>
      </c>
      <c r="G232" s="18" t="n">
        <f aca="false">TIME(15,7,0)</f>
        <v>0.629861111111111</v>
      </c>
      <c r="H232" s="7" t="n">
        <f aca="false">E232*(G232-F232)*24</f>
        <v>0.00066666667</v>
      </c>
      <c r="I232" s="7" t="n">
        <f aca="false">(C232-B232)*24</f>
        <v>1.8</v>
      </c>
      <c r="J232" s="7" t="n">
        <f aca="false">(G232-F232)*24</f>
        <v>0.033333333</v>
      </c>
    </row>
    <row r="233" customFormat="false" ht="15" hidden="false" customHeight="true" outlineLevel="0" collapsed="false">
      <c r="A233" s="4"/>
      <c r="B233" s="5"/>
      <c r="C233" s="5"/>
      <c r="D233" s="4"/>
      <c r="E233" s="4" t="n">
        <v>2</v>
      </c>
      <c r="F233" s="18" t="n">
        <f aca="false">TIME(15,18,0)</f>
        <v>0.6375</v>
      </c>
      <c r="G233" s="18" t="n">
        <f aca="false">TIME(15,26,0)</f>
        <v>0.643055555555556</v>
      </c>
      <c r="H233" s="7" t="n">
        <f aca="false">E233*(G233-F233)*24</f>
        <v>0.26666667</v>
      </c>
      <c r="I233" s="7" t="n">
        <f aca="false">(C233-B233)*24</f>
        <v>0</v>
      </c>
      <c r="J233" s="7" t="n">
        <f aca="false">(G233-F233)*24</f>
        <v>0.13333333</v>
      </c>
    </row>
    <row r="234" customFormat="false" ht="15" hidden="false" customHeight="true" outlineLevel="0" collapsed="false">
      <c r="A234" s="24"/>
      <c r="B234" s="5"/>
      <c r="C234" s="5"/>
      <c r="D234" s="4"/>
      <c r="E234" s="4" t="n">
        <v>20</v>
      </c>
      <c r="F234" s="18" t="n">
        <f aca="false">TIME(15,35,0)</f>
        <v>0.649305555555556</v>
      </c>
      <c r="G234" s="18" t="n">
        <f aca="false">TIME(15,39,0)</f>
        <v>0.652083333333333</v>
      </c>
      <c r="H234" s="7" t="n">
        <f aca="false">E234*(G234-F234)*24</f>
        <v>1.3333333</v>
      </c>
      <c r="I234" s="7" t="n">
        <f aca="false">(C234-B234)*24</f>
        <v>0</v>
      </c>
      <c r="J234" s="7" t="n">
        <f aca="false">(G234-F234)*24</f>
        <v>0.066666667</v>
      </c>
    </row>
    <row r="235" customFormat="false" ht="15" hidden="false" customHeight="true" outlineLevel="0" collapsed="false">
      <c r="A235" s="24"/>
      <c r="B235" s="5"/>
      <c r="C235" s="5"/>
      <c r="D235" s="4"/>
      <c r="E235" s="4" t="n">
        <v>100</v>
      </c>
      <c r="F235" s="18" t="n">
        <f aca="false">TIME(15,44,0)</f>
        <v>0.655555555555556</v>
      </c>
      <c r="G235" s="18" t="n">
        <f aca="false">TIME(15,49,0)</f>
        <v>0.659027777777778</v>
      </c>
      <c r="H235" s="7" t="n">
        <f aca="false">E235*(G235-F235)*24</f>
        <v>8.3333333</v>
      </c>
      <c r="I235" s="7" t="n">
        <f aca="false">(C235-B235)*24</f>
        <v>0</v>
      </c>
      <c r="J235" s="7" t="n">
        <f aca="false">(G235-F235)*24</f>
        <v>0.083333333</v>
      </c>
    </row>
    <row r="236" customFormat="false" ht="15" hidden="false" customHeight="true" outlineLevel="0" collapsed="false">
      <c r="A236" s="24"/>
      <c r="B236" s="5"/>
      <c r="C236" s="5"/>
      <c r="D236" s="4"/>
      <c r="E236" s="4" t="n">
        <v>200</v>
      </c>
      <c r="F236" s="18" t="n">
        <f aca="false">TIME(15,54,0)</f>
        <v>0.6625</v>
      </c>
      <c r="G236" s="18" t="n">
        <f aca="false">TIME(16,4,0)</f>
        <v>0.669444444444444</v>
      </c>
      <c r="H236" s="7" t="n">
        <f aca="false">E236*(G236-F236)*24</f>
        <v>33.333333</v>
      </c>
      <c r="I236" s="7" t="n">
        <f aca="false">(C236-B236)*24</f>
        <v>0</v>
      </c>
      <c r="J236" s="7" t="n">
        <f aca="false">(G236-F236)*24</f>
        <v>0.16666667</v>
      </c>
    </row>
    <row r="237" customFormat="false" ht="15" hidden="false" customHeight="true" outlineLevel="0" collapsed="false">
      <c r="A237" s="24" t="n">
        <v>36214</v>
      </c>
      <c r="B237" s="5" t="n">
        <f aca="false">TIME(9,12,0)</f>
        <v>0.383333333333333</v>
      </c>
      <c r="C237" s="5" t="n">
        <f aca="false">TIME(11,43,0)</f>
        <v>0.488194444444444</v>
      </c>
      <c r="D237" s="4" t="n">
        <v>5</v>
      </c>
      <c r="E237" s="4" t="n">
        <v>0.01</v>
      </c>
      <c r="F237" s="18" t="n">
        <f aca="false">TIME(9,59,0)</f>
        <v>0.415972222222222</v>
      </c>
      <c r="G237" s="18" t="n">
        <f aca="false">TIME(10,5,0)</f>
        <v>0.420138888888889</v>
      </c>
      <c r="H237" s="7" t="n">
        <f aca="false">E237*(G237-F237)*24</f>
        <v>0.001</v>
      </c>
      <c r="I237" s="7" t="n">
        <f aca="false">(C237-B237)*24</f>
        <v>2.5166667</v>
      </c>
      <c r="J237" s="7" t="n">
        <f aca="false">(G237-F237)*24</f>
        <v>0.1</v>
      </c>
    </row>
    <row r="238" customFormat="false" ht="15" hidden="false" customHeight="true" outlineLevel="0" collapsed="false">
      <c r="A238" s="24"/>
      <c r="B238" s="5"/>
      <c r="C238" s="5"/>
      <c r="D238" s="4"/>
      <c r="E238" s="4" t="n">
        <v>0.1</v>
      </c>
      <c r="F238" s="18" t="n">
        <f aca="false">TIME(10,9,0)</f>
        <v>0.422916666666667</v>
      </c>
      <c r="G238" s="18" t="n">
        <f aca="false">TIME(10,44,0)</f>
        <v>0.447222222222222</v>
      </c>
      <c r="H238" s="7" t="n">
        <f aca="false">E238*(G238-F238)*24</f>
        <v>0.058333333</v>
      </c>
      <c r="I238" s="7" t="n">
        <f aca="false">(C238-B238)*24</f>
        <v>0</v>
      </c>
      <c r="J238" s="7" t="n">
        <f aca="false">(G238-F238)*24</f>
        <v>0.58333333</v>
      </c>
    </row>
    <row r="239" customFormat="false" ht="15" hidden="false" customHeight="true" outlineLevel="0" collapsed="false">
      <c r="A239" s="24"/>
      <c r="B239" s="5"/>
      <c r="C239" s="5"/>
      <c r="D239" s="4"/>
      <c r="E239" s="4" t="n">
        <v>100</v>
      </c>
      <c r="F239" s="18" t="n">
        <f aca="false">TIME(10,56,0)</f>
        <v>0.455555555555556</v>
      </c>
      <c r="G239" s="18" t="n">
        <f aca="false">TIME(11,38,0)</f>
        <v>0.484722222222222</v>
      </c>
      <c r="H239" s="7" t="n">
        <f aca="false">E239*(G239-F239)*24</f>
        <v>70</v>
      </c>
      <c r="I239" s="7" t="n">
        <f aca="false">(C239-B239)*24</f>
        <v>0</v>
      </c>
      <c r="J239" s="7" t="n">
        <f aca="false">(G239-F239)*24</f>
        <v>0.7</v>
      </c>
    </row>
    <row r="240" customFormat="false" ht="15" hidden="false" customHeight="true" outlineLevel="0" collapsed="false">
      <c r="A240" s="24" t="n">
        <v>36215</v>
      </c>
      <c r="B240" s="5" t="n">
        <f aca="false">TIME(8,41,0)</f>
        <v>0.361805555555556</v>
      </c>
      <c r="C240" s="5" t="n">
        <f aca="false">TIME(12,22,0)</f>
        <v>0.515277777777778</v>
      </c>
      <c r="D240" s="4" t="n">
        <v>5</v>
      </c>
      <c r="E240" s="4" t="n">
        <v>0.01</v>
      </c>
      <c r="F240" s="18" t="n">
        <f aca="false">TIME(9,33,0)</f>
        <v>0.397916666666667</v>
      </c>
      <c r="G240" s="18" t="n">
        <f aca="false">TIME(9,35,0)</f>
        <v>0.399305555555556</v>
      </c>
      <c r="H240" s="7" t="n">
        <f aca="false">E240*(G240-F240)*24</f>
        <v>0.00033333333</v>
      </c>
      <c r="I240" s="7" t="n">
        <f aca="false">(C240-B240)*24</f>
        <v>3.6833333</v>
      </c>
      <c r="J240" s="7" t="n">
        <f aca="false">(G240-F240)*24</f>
        <v>0.033333333</v>
      </c>
    </row>
    <row r="241" customFormat="false" ht="15" hidden="false" customHeight="true" outlineLevel="0" collapsed="false">
      <c r="A241" s="24"/>
      <c r="B241" s="5"/>
      <c r="C241" s="5"/>
      <c r="D241" s="4"/>
      <c r="E241" s="4" t="n">
        <v>2</v>
      </c>
      <c r="F241" s="18" t="n">
        <f aca="false">TIME(9,42,0)</f>
        <v>0.404166666666667</v>
      </c>
      <c r="G241" s="18" t="n">
        <f aca="false">TIME(11,55,0)</f>
        <v>0.496527777777778</v>
      </c>
      <c r="H241" s="7" t="n">
        <f aca="false">E241*(G241-F241)*24</f>
        <v>4.4333333</v>
      </c>
      <c r="I241" s="7" t="n">
        <f aca="false">(C241-B241)*24</f>
        <v>0</v>
      </c>
      <c r="J241" s="7" t="n">
        <f aca="false">(G241-F241)*24</f>
        <v>2.2166667</v>
      </c>
    </row>
    <row r="242" customFormat="false" ht="15" hidden="false" customHeight="true" outlineLevel="0" collapsed="false">
      <c r="A242" s="24"/>
      <c r="B242" s="5"/>
      <c r="C242" s="5"/>
      <c r="D242" s="4"/>
      <c r="E242" s="4" t="n">
        <v>100</v>
      </c>
      <c r="F242" s="18" t="n">
        <f aca="false">TIME(12,2,0)</f>
        <v>0.501388888888889</v>
      </c>
      <c r="G242" s="18" t="n">
        <f aca="false">TIME(12,17,0)</f>
        <v>0.511805555555556</v>
      </c>
      <c r="H242" s="7" t="n">
        <f aca="false">E242*(G242-F242)*24</f>
        <v>25</v>
      </c>
      <c r="I242" s="7" t="n">
        <f aca="false">(C242-B242)*24</f>
        <v>0</v>
      </c>
      <c r="J242" s="7" t="n">
        <f aca="false">(G242-F242)*24</f>
        <v>0.25</v>
      </c>
    </row>
    <row r="243" customFormat="false" ht="15" hidden="false" customHeight="true" outlineLevel="0" collapsed="false">
      <c r="A243" s="24" t="n">
        <v>36215</v>
      </c>
      <c r="B243" s="5" t="n">
        <f aca="false">TIME(14,33,0)</f>
        <v>0.60625</v>
      </c>
      <c r="C243" s="5" t="n">
        <f aca="false">TIME(16,24,0)</f>
        <v>0.683333333333333</v>
      </c>
      <c r="D243" s="4" t="s">
        <v>39</v>
      </c>
      <c r="E243" s="4" t="n">
        <v>0.01</v>
      </c>
      <c r="F243" s="18" t="n">
        <f aca="false">TIME(15,47,0)</f>
        <v>0.657638888888889</v>
      </c>
      <c r="G243" s="18" t="n">
        <f aca="false">TIME(15,53,0)</f>
        <v>0.661805555555556</v>
      </c>
      <c r="H243" s="7" t="n">
        <f aca="false">E243*(G243-F243)*24</f>
        <v>0.001</v>
      </c>
      <c r="I243" s="7" t="n">
        <f aca="false">(C243-B243)*24</f>
        <v>1.85</v>
      </c>
      <c r="J243" s="7" t="n">
        <f aca="false">(G243-F243)*24</f>
        <v>0.1</v>
      </c>
    </row>
    <row r="244" customFormat="false" ht="15" hidden="false" customHeight="true" outlineLevel="0" collapsed="false">
      <c r="A244" s="24"/>
      <c r="B244" s="18"/>
      <c r="C244" s="18"/>
      <c r="D244" s="4"/>
      <c r="E244" s="4" t="n">
        <v>0.1</v>
      </c>
      <c r="F244" s="18" t="n">
        <f aca="false">TIME(16,1,0)</f>
        <v>0.667361111111111</v>
      </c>
      <c r="G244" s="18" t="n">
        <f aca="false">TIME(16,6,0)</f>
        <v>0.670833333333333</v>
      </c>
      <c r="H244" s="7" t="n">
        <f aca="false">E244*(G244-F244)*24</f>
        <v>0.0083333333</v>
      </c>
      <c r="I244" s="7" t="n">
        <f aca="false">(C244-B244)*24</f>
        <v>0</v>
      </c>
      <c r="J244" s="7" t="n">
        <f aca="false">(G244-F244)*24</f>
        <v>0.083333333</v>
      </c>
    </row>
    <row r="245" customFormat="false" ht="15" hidden="false" customHeight="true" outlineLevel="0" collapsed="false">
      <c r="A245" s="24"/>
      <c r="B245" s="18"/>
      <c r="C245" s="18"/>
      <c r="D245" s="4"/>
      <c r="E245" s="4" t="n">
        <v>0.01</v>
      </c>
      <c r="F245" s="18" t="n">
        <f aca="false">TIME(16,13,0)</f>
        <v>0.675694444444445</v>
      </c>
      <c r="G245" s="18" t="n">
        <f aca="false">TIME(16,19,0)</f>
        <v>0.679861111111111</v>
      </c>
      <c r="H245" s="7" t="n">
        <f aca="false">E245*(G245-F245)*24</f>
        <v>0.001</v>
      </c>
      <c r="I245" s="7" t="n">
        <f aca="false">(C245-B245)*24</f>
        <v>0</v>
      </c>
      <c r="J245" s="7" t="n">
        <f aca="false">(G245-F245)*24</f>
        <v>0.1</v>
      </c>
    </row>
    <row r="246" customFormat="false" ht="15" hidden="false" customHeight="true" outlineLevel="0" collapsed="false">
      <c r="A246" s="24" t="n">
        <v>36216</v>
      </c>
      <c r="B246" s="18" t="n">
        <f aca="false">TIME(9,0,0)</f>
        <v>0.375</v>
      </c>
      <c r="C246" s="18" t="n">
        <f aca="false">TIME(12,6,0)</f>
        <v>0.504166666666667</v>
      </c>
      <c r="D246" s="4" t="n">
        <v>5</v>
      </c>
      <c r="E246" s="4" t="n">
        <v>0.01</v>
      </c>
      <c r="F246" s="18" t="n">
        <f aca="false">TIME(10,1,0)</f>
        <v>0.417361111111111</v>
      </c>
      <c r="G246" s="18" t="n">
        <f aca="false">TIME(10,3,0)</f>
        <v>0.41875</v>
      </c>
      <c r="H246" s="7" t="n">
        <f aca="false">E246*(G246-F246)*24</f>
        <v>0.00033333333</v>
      </c>
      <c r="I246" s="7" t="n">
        <f aca="false">(C246-B246)*24</f>
        <v>3.1</v>
      </c>
      <c r="J246" s="7" t="n">
        <f aca="false">(G246-F246)*24</f>
        <v>0.033333333</v>
      </c>
    </row>
    <row r="247" customFormat="false" ht="15" hidden="false" customHeight="true" outlineLevel="0" collapsed="false">
      <c r="A247" s="24"/>
      <c r="B247" s="18"/>
      <c r="C247" s="18"/>
      <c r="D247" s="4"/>
      <c r="E247" s="4" t="n">
        <v>0.1</v>
      </c>
      <c r="F247" s="18" t="n">
        <f aca="false">TIME(10,9,0)</f>
        <v>0.422916666666667</v>
      </c>
      <c r="G247" s="18" t="n">
        <f aca="false">TIME(10,35,0)</f>
        <v>0.440972222222222</v>
      </c>
      <c r="H247" s="7" t="n">
        <f aca="false">E247*(G247-F247)*24</f>
        <v>0.043333333</v>
      </c>
      <c r="I247" s="7" t="n">
        <f aca="false">(C247-B247)*24</f>
        <v>0</v>
      </c>
      <c r="J247" s="7" t="n">
        <f aca="false">(G247-F247)*24</f>
        <v>0.43333333</v>
      </c>
    </row>
    <row r="248" customFormat="false" ht="15" hidden="false" customHeight="true" outlineLevel="0" collapsed="false">
      <c r="A248" s="24"/>
      <c r="B248" s="18"/>
      <c r="C248" s="18"/>
      <c r="D248" s="4"/>
      <c r="E248" s="4" t="n">
        <v>100</v>
      </c>
      <c r="F248" s="18" t="n">
        <f aca="false">TIME(10,45,0)</f>
        <v>0.447916666666667</v>
      </c>
      <c r="G248" s="18" t="n">
        <f aca="false">TIME(10,58,0)</f>
        <v>0.456944444444444</v>
      </c>
      <c r="H248" s="7" t="n">
        <f aca="false">E248*(G248-F248)*24</f>
        <v>21.666667</v>
      </c>
      <c r="I248" s="7" t="n">
        <f aca="false">(C248-B248)*24</f>
        <v>0</v>
      </c>
      <c r="J248" s="7" t="n">
        <f aca="false">(G248-F248)*24</f>
        <v>0.21666667</v>
      </c>
    </row>
    <row r="249" customFormat="false" ht="15" hidden="false" customHeight="true" outlineLevel="0" collapsed="false">
      <c r="A249" s="24"/>
      <c r="B249" s="18"/>
      <c r="C249" s="18"/>
      <c r="D249" s="4"/>
      <c r="E249" s="4" t="n">
        <v>0.1</v>
      </c>
      <c r="F249" s="18" t="n">
        <f aca="false">TIME(11,10,0)</f>
        <v>0.465277777777778</v>
      </c>
      <c r="G249" s="18" t="n">
        <f aca="false">TIME(11,32,0)</f>
        <v>0.480555555555556</v>
      </c>
      <c r="H249" s="7" t="n">
        <f aca="false">E249*(G249-F249)*24</f>
        <v>0.036666667</v>
      </c>
      <c r="I249" s="7" t="n">
        <f aca="false">(C249-B249)*24</f>
        <v>0</v>
      </c>
      <c r="J249" s="7" t="n">
        <f aca="false">(G249-F249)*24</f>
        <v>0.36666667</v>
      </c>
    </row>
    <row r="250" customFormat="false" ht="15" hidden="false" customHeight="true" outlineLevel="0" collapsed="false">
      <c r="A250" s="24"/>
      <c r="B250" s="18"/>
      <c r="C250" s="18"/>
      <c r="D250" s="4"/>
      <c r="E250" s="4" t="n">
        <v>100</v>
      </c>
      <c r="F250" s="18" t="n">
        <f aca="false">TIME(11,44,0)</f>
        <v>0.488888888888889</v>
      </c>
      <c r="G250" s="18" t="n">
        <f aca="false">TIME(12,1,0)</f>
        <v>0.500694444444444</v>
      </c>
      <c r="H250" s="7" t="n">
        <f aca="false">E250*(G250-F250)*24</f>
        <v>28.333333</v>
      </c>
      <c r="I250" s="7" t="n">
        <f aca="false">(C250-B250)*24</f>
        <v>0</v>
      </c>
      <c r="J250" s="7" t="n">
        <f aca="false">(G250-F250)*24</f>
        <v>0.28333333</v>
      </c>
    </row>
    <row r="251" customFormat="false" ht="15" hidden="false" customHeight="true" outlineLevel="0" collapsed="false">
      <c r="A251" s="24" t="n">
        <v>36216</v>
      </c>
      <c r="B251" s="18" t="n">
        <f aca="false">TIME(12,36,0)</f>
        <v>0.525</v>
      </c>
      <c r="C251" s="18" t="n">
        <f aca="false">TIME(14,31,0)</f>
        <v>0.604861111111111</v>
      </c>
      <c r="D251" s="4" t="s">
        <v>39</v>
      </c>
      <c r="E251" s="4" t="n">
        <v>0.01</v>
      </c>
      <c r="F251" s="18" t="n">
        <f aca="false">TIME(13,53,0)</f>
        <v>0.578472222222222</v>
      </c>
      <c r="G251" s="18" t="n">
        <f aca="false">TIME(14,0,0)</f>
        <v>0.583333333333333</v>
      </c>
      <c r="H251" s="7" t="n">
        <f aca="false">E251*(G251-F251)*24</f>
        <v>0.0011666667</v>
      </c>
      <c r="I251" s="7" t="n">
        <f aca="false">(C251-B251)*24</f>
        <v>1.9166667</v>
      </c>
      <c r="J251" s="7" t="n">
        <f aca="false">(G251-F251)*24</f>
        <v>0.11666667</v>
      </c>
    </row>
    <row r="252" customFormat="false" ht="15" hidden="false" customHeight="true" outlineLevel="0" collapsed="false">
      <c r="A252" s="24"/>
      <c r="B252" s="18"/>
      <c r="C252" s="18"/>
      <c r="D252" s="4"/>
      <c r="E252" s="4" t="n">
        <v>0.1</v>
      </c>
      <c r="F252" s="18" t="n">
        <f aca="false">TIME(14,8,0)</f>
        <v>0.588888888888889</v>
      </c>
      <c r="G252" s="18" t="n">
        <f aca="false">TIME(14,12,0)</f>
        <v>0.591666666666667</v>
      </c>
      <c r="H252" s="7" t="n">
        <f aca="false">E252*(G252-F252)*24</f>
        <v>0.0066666667</v>
      </c>
      <c r="I252" s="7" t="n">
        <f aca="false">(C252-B252)*24</f>
        <v>0</v>
      </c>
      <c r="J252" s="7" t="n">
        <f aca="false">(G252-F252)*24</f>
        <v>0.066666667</v>
      </c>
    </row>
    <row r="253" customFormat="false" ht="15" hidden="false" customHeight="true" outlineLevel="0" collapsed="false">
      <c r="A253" s="24"/>
      <c r="B253" s="18"/>
      <c r="C253" s="18"/>
      <c r="D253" s="4"/>
      <c r="E253" s="4" t="n">
        <v>0.01</v>
      </c>
      <c r="F253" s="18" t="n">
        <f aca="false">TIME(14,22,0)</f>
        <v>0.598611111111111</v>
      </c>
      <c r="G253" s="18" t="n">
        <f aca="false">TIME(14,26,0)</f>
        <v>0.601388888888889</v>
      </c>
      <c r="H253" s="7" t="n">
        <f aca="false">E253*(G253-F253)*24</f>
        <v>0.00066666667</v>
      </c>
      <c r="I253" s="7" t="n">
        <f aca="false">(C253-B253)*24</f>
        <v>0</v>
      </c>
      <c r="J253" s="7" t="n">
        <f aca="false">(G253-F253)*24</f>
        <v>0.066666667</v>
      </c>
    </row>
    <row r="254" customFormat="false" ht="15" hidden="false" customHeight="true" outlineLevel="0" collapsed="false">
      <c r="A254" s="24" t="n">
        <v>36216</v>
      </c>
      <c r="B254" s="18" t="n">
        <f aca="false">TIME(14,41,0)</f>
        <v>0.611805555555556</v>
      </c>
      <c r="C254" s="18" t="n">
        <f aca="false">TIME(16,31,0)</f>
        <v>0.688194444444444</v>
      </c>
      <c r="D254" s="4" t="s">
        <v>39</v>
      </c>
      <c r="E254" s="4" t="n">
        <v>0.01</v>
      </c>
      <c r="F254" s="18" t="n">
        <f aca="false">TIME(16,15,0)</f>
        <v>0.677083333333333</v>
      </c>
      <c r="G254" s="18" t="n">
        <f aca="false">TIME(16,26,0)</f>
        <v>0.684722222222222</v>
      </c>
      <c r="H254" s="7" t="n">
        <f aca="false">E254*(G254-F254)*24</f>
        <v>0.0018333333</v>
      </c>
      <c r="I254" s="7" t="n">
        <f aca="false">(C254-B254)*24</f>
        <v>1.8333333</v>
      </c>
      <c r="J254" s="7" t="n">
        <f aca="false">(G254-F254)*24</f>
        <v>0.18333333</v>
      </c>
    </row>
    <row r="255" customFormat="false" ht="15" hidden="false" customHeight="true" outlineLevel="0" collapsed="false">
      <c r="A255" s="24" t="n">
        <v>36217</v>
      </c>
      <c r="B255" s="18" t="n">
        <f aca="false">TIME(10,58,0)</f>
        <v>0.456944444444444</v>
      </c>
      <c r="C255" s="18" t="n">
        <f aca="false">TIME(15,48,0)</f>
        <v>0.658333333333333</v>
      </c>
      <c r="D255" s="4" t="s">
        <v>49</v>
      </c>
      <c r="E255" s="4" t="n">
        <v>0.01</v>
      </c>
      <c r="F255" s="18" t="n">
        <f aca="false">TIME(12,53,0)</f>
        <v>0.536805555555556</v>
      </c>
      <c r="G255" s="18" t="n">
        <f aca="false">TIME(13,11,0)</f>
        <v>0.549305555555556</v>
      </c>
      <c r="H255" s="7" t="n">
        <f aca="false">E255*(G255-F255)*24</f>
        <v>0.003</v>
      </c>
      <c r="I255" s="7" t="n">
        <f aca="false">(C255-B255)*24</f>
        <v>4.8333333</v>
      </c>
      <c r="J255" s="7" t="n">
        <f aca="false">(G255-F255)*24</f>
        <v>0.3</v>
      </c>
    </row>
    <row r="256" customFormat="false" ht="15" hidden="false" customHeight="true" outlineLevel="0" collapsed="false">
      <c r="A256" s="24"/>
      <c r="B256" s="18"/>
      <c r="C256" s="18"/>
      <c r="D256" s="4"/>
      <c r="E256" s="4" t="n">
        <v>0.5</v>
      </c>
      <c r="F256" s="18" t="n">
        <f aca="false">TIME(13,11,0)</f>
        <v>0.549305555555556</v>
      </c>
      <c r="G256" s="18" t="n">
        <f aca="false">TIME(15,43,0)</f>
        <v>0.654861111111111</v>
      </c>
      <c r="H256" s="7" t="n">
        <f aca="false">E256*(G256-F256)*24</f>
        <v>1.2666667</v>
      </c>
      <c r="I256" s="7" t="n">
        <f aca="false">(C256-B256)*24</f>
        <v>0</v>
      </c>
      <c r="J256" s="7" t="n">
        <f aca="false">(G256-F256)*24</f>
        <v>2.5333333</v>
      </c>
    </row>
    <row r="257" customFormat="false" ht="15" hidden="false" customHeight="true" outlineLevel="0" collapsed="false">
      <c r="A257" s="24" t="n">
        <v>36221</v>
      </c>
      <c r="B257" s="18" t="n">
        <f aca="false">TIME(8,15,0)</f>
        <v>0.34375</v>
      </c>
      <c r="C257" s="18" t="n">
        <f aca="false">TIME(16,24,0)</f>
        <v>0.683333333333333</v>
      </c>
      <c r="D257" s="4" t="n">
        <v>5</v>
      </c>
      <c r="E257" s="4" t="n">
        <v>0.01</v>
      </c>
      <c r="F257" s="18" t="n">
        <f aca="false">TIME(9,0,0)</f>
        <v>0.375</v>
      </c>
      <c r="G257" s="18" t="n">
        <f aca="false">TIME(9,3,0)</f>
        <v>0.377083333333333</v>
      </c>
      <c r="H257" s="7" t="n">
        <f aca="false">E257*(G257-F257)*24</f>
        <v>0.0005</v>
      </c>
      <c r="I257" s="7" t="n">
        <f aca="false">(C257-B257)*24</f>
        <v>8.15</v>
      </c>
      <c r="J257" s="7" t="n">
        <f aca="false">(G257-F257)*24</f>
        <v>0.05</v>
      </c>
    </row>
    <row r="258" customFormat="false" ht="15" hidden="false" customHeight="true" outlineLevel="0" collapsed="false">
      <c r="A258" s="24"/>
      <c r="B258" s="18"/>
      <c r="C258" s="18"/>
      <c r="D258" s="4"/>
      <c r="E258" s="4" t="n">
        <v>100</v>
      </c>
      <c r="F258" s="18" t="n">
        <f aca="false">TIME(9,17,0)</f>
        <v>0.386805555555556</v>
      </c>
      <c r="G258" s="18" t="n">
        <f aca="false">TIME(14,38,0)</f>
        <v>0.609722222222222</v>
      </c>
      <c r="H258" s="7" t="n">
        <f aca="false">E258*(G258-F258)*24</f>
        <v>535</v>
      </c>
      <c r="I258" s="7" t="n">
        <f aca="false">(C258-B258)*24</f>
        <v>0</v>
      </c>
      <c r="J258" s="7" t="n">
        <f aca="false">(G258-F258)*24</f>
        <v>5.35</v>
      </c>
    </row>
    <row r="259" customFormat="false" ht="15" hidden="false" customHeight="true" outlineLevel="0" collapsed="false">
      <c r="A259" s="24"/>
      <c r="B259" s="18"/>
      <c r="C259" s="18"/>
      <c r="D259" s="4"/>
      <c r="E259" s="4" t="n">
        <v>2</v>
      </c>
      <c r="F259" s="18" t="n">
        <f aca="false">TIME(14,44,0)</f>
        <v>0.613888888888889</v>
      </c>
      <c r="G259" s="18" t="n">
        <f aca="false">TIME(16,19,0)</f>
        <v>0.679861111111111</v>
      </c>
      <c r="H259" s="7" t="n">
        <f aca="false">E259*(G259-F259)*24</f>
        <v>3.1666667</v>
      </c>
      <c r="I259" s="7" t="n">
        <f aca="false">(C259-B259)*24</f>
        <v>0</v>
      </c>
      <c r="J259" s="7" t="n">
        <f aca="false">(G259-F259)*24</f>
        <v>1.5833333</v>
      </c>
    </row>
    <row r="260" customFormat="false" ht="15" hidden="false" customHeight="true" outlineLevel="0" collapsed="false">
      <c r="A260" s="24" t="n">
        <v>36223</v>
      </c>
      <c r="B260" s="18" t="n">
        <f aca="false">TIME(12,34,0)</f>
        <v>0.523611111111111</v>
      </c>
      <c r="C260" s="18" t="n">
        <f aca="false">TIME(14,18,0)</f>
        <v>0.595833333333333</v>
      </c>
      <c r="D260" s="4" t="s">
        <v>39</v>
      </c>
      <c r="E260" s="4" t="n">
        <v>0.01</v>
      </c>
      <c r="F260" s="18" t="n">
        <f aca="false">TIME(13,40,0)</f>
        <v>0.569444444444444</v>
      </c>
      <c r="G260" s="18" t="n">
        <f aca="false">TIME(13,47,0)</f>
        <v>0.574305555555556</v>
      </c>
      <c r="H260" s="7" t="n">
        <f aca="false">E260*(G260-F260)*24</f>
        <v>0.0011666667</v>
      </c>
      <c r="I260" s="7" t="n">
        <f aca="false">(C260-B260)*24</f>
        <v>1.7333333</v>
      </c>
      <c r="J260" s="7" t="n">
        <f aca="false">(G260-F260)*24</f>
        <v>0.11666667</v>
      </c>
    </row>
    <row r="261" customFormat="false" ht="15" hidden="false" customHeight="true" outlineLevel="0" collapsed="false">
      <c r="A261" s="24"/>
      <c r="B261" s="18"/>
      <c r="C261" s="18"/>
      <c r="D261" s="4"/>
      <c r="E261" s="4" t="n">
        <v>0.1</v>
      </c>
      <c r="F261" s="18" t="n">
        <f aca="false">TIME(13,55,0)</f>
        <v>0.579861111111111</v>
      </c>
      <c r="G261" s="18" t="n">
        <f aca="false">TIME(14,0,0)</f>
        <v>0.583333333333333</v>
      </c>
      <c r="H261" s="7" t="n">
        <f aca="false">E261*(G261-F261)*24</f>
        <v>0.0083333333</v>
      </c>
      <c r="I261" s="7" t="n">
        <f aca="false">(C261-B261)*24</f>
        <v>0</v>
      </c>
      <c r="J261" s="7" t="n">
        <f aca="false">(G261-F261)*24</f>
        <v>0.083333333</v>
      </c>
    </row>
    <row r="262" customFormat="false" ht="15" hidden="false" customHeight="true" outlineLevel="0" collapsed="false">
      <c r="A262" s="24"/>
      <c r="B262" s="18"/>
      <c r="C262" s="18"/>
      <c r="D262" s="4"/>
      <c r="E262" s="4" t="n">
        <v>0.01</v>
      </c>
      <c r="F262" s="18" t="n">
        <f aca="false">TIME(14,10,0)</f>
        <v>0.590277777777778</v>
      </c>
      <c r="G262" s="18" t="n">
        <f aca="false">TIME(14,13,0)</f>
        <v>0.592361111111111</v>
      </c>
      <c r="H262" s="7" t="n">
        <f aca="false">E262*(G262-F262)*24</f>
        <v>0.0005</v>
      </c>
      <c r="I262" s="7" t="n">
        <f aca="false">(C262-B262)*24</f>
        <v>0</v>
      </c>
      <c r="J262" s="7" t="n">
        <f aca="false">(G262-F262)*24</f>
        <v>0.05</v>
      </c>
    </row>
    <row r="263" customFormat="false" ht="15" hidden="false" customHeight="true" outlineLevel="0" collapsed="false">
      <c r="A263" s="24" t="n">
        <v>36223</v>
      </c>
      <c r="B263" s="18" t="n">
        <f aca="false">TIME(14,31,0)</f>
        <v>0.604861111111111</v>
      </c>
      <c r="C263" s="18" t="n">
        <f aca="false">TIME(16,32,0)</f>
        <v>0.688888888888889</v>
      </c>
      <c r="D263" s="4" t="s">
        <v>39</v>
      </c>
      <c r="E263" s="4" t="n">
        <v>0.01</v>
      </c>
      <c r="F263" s="18" t="n">
        <f aca="false">TIME(16,5,0)</f>
        <v>0.670138888888889</v>
      </c>
      <c r="G263" s="18" t="n">
        <f aca="false">TIME(16,14,0)</f>
        <v>0.676388888888889</v>
      </c>
      <c r="H263" s="7" t="n">
        <f aca="false">E263*(G263-F263)*24</f>
        <v>0.0015</v>
      </c>
      <c r="I263" s="7" t="n">
        <f aca="false">(C263-B263)*24</f>
        <v>2.0166667</v>
      </c>
      <c r="J263" s="7" t="n">
        <f aca="false">(G263-F263)*24</f>
        <v>0.15</v>
      </c>
    </row>
    <row r="264" customFormat="false" ht="15" hidden="false" customHeight="true" outlineLevel="0" collapsed="false">
      <c r="A264" s="24"/>
      <c r="B264" s="18"/>
      <c r="C264" s="18"/>
      <c r="D264" s="4"/>
      <c r="E264" s="4" t="n">
        <v>0.1</v>
      </c>
      <c r="F264" s="18" t="n">
        <f aca="false">TIME(16,22,0)</f>
        <v>0.681944444444445</v>
      </c>
      <c r="G264" s="18" t="n">
        <f aca="false">TIME(16,27,0)</f>
        <v>0.685416666666667</v>
      </c>
      <c r="H264" s="7" t="n">
        <f aca="false">E264*(G264-F264)*24</f>
        <v>0.0083333333</v>
      </c>
      <c r="I264" s="7" t="n">
        <f aca="false">(C264-B264)*24</f>
        <v>0</v>
      </c>
      <c r="J264" s="7" t="n">
        <f aca="false">(G264-F264)*24</f>
        <v>0.083333333</v>
      </c>
    </row>
    <row r="265" customFormat="false" ht="15" hidden="false" customHeight="true" outlineLevel="0" collapsed="false">
      <c r="A265" s="24" t="n">
        <v>36227</v>
      </c>
      <c r="B265" s="18" t="n">
        <f aca="false">TIME(14,19,0)</f>
        <v>0.596527777777778</v>
      </c>
      <c r="C265" s="18" t="n">
        <f aca="false">TIME(15,6,0)</f>
        <v>0.629166666666667</v>
      </c>
      <c r="D265" s="4" t="s">
        <v>51</v>
      </c>
      <c r="E265" s="4" t="n">
        <v>0</v>
      </c>
      <c r="F265" s="18" t="n">
        <f aca="false">TIME(14,19,0)</f>
        <v>0.596527777777778</v>
      </c>
      <c r="G265" s="18" t="n">
        <f aca="false">TIME(15,1,0)</f>
        <v>0.625694444444444</v>
      </c>
      <c r="H265" s="7" t="n">
        <f aca="false">E265*(G265-F265)*24</f>
        <v>0</v>
      </c>
      <c r="I265" s="7" t="n">
        <f aca="false">(C265-B265)*24</f>
        <v>0.78333333</v>
      </c>
      <c r="J265" s="7" t="n">
        <f aca="false">(G265-F265)*24</f>
        <v>0.7</v>
      </c>
    </row>
    <row r="266" customFormat="false" ht="15" hidden="false" customHeight="true" outlineLevel="0" collapsed="false">
      <c r="A266" s="24" t="n">
        <v>36229</v>
      </c>
      <c r="B266" s="18" t="n">
        <f aca="false">TIME(9,27,0)</f>
        <v>0.39375</v>
      </c>
      <c r="C266" s="18" t="n">
        <f aca="false">TIME(12,18,0)</f>
        <v>0.5125</v>
      </c>
      <c r="D266" s="4" t="n">
        <v>5</v>
      </c>
      <c r="E266" s="4" t="n">
        <v>0.01</v>
      </c>
      <c r="F266" s="18" t="n">
        <f aca="false">TIME(10,14,0)</f>
        <v>0.426388888888889</v>
      </c>
      <c r="G266" s="18" t="n">
        <f aca="false">TIME(10,17,0)</f>
        <v>0.428472222222222</v>
      </c>
      <c r="H266" s="7" t="n">
        <f aca="false">E266*(G266-F266)*24</f>
        <v>0.0005</v>
      </c>
      <c r="I266" s="7" t="n">
        <f aca="false">(C266-B266)*24</f>
        <v>2.85</v>
      </c>
      <c r="J266" s="7" t="n">
        <f aca="false">(G266-F266)*24</f>
        <v>0.05</v>
      </c>
    </row>
    <row r="267" customFormat="false" ht="15" hidden="false" customHeight="true" outlineLevel="0" collapsed="false">
      <c r="A267" s="4"/>
      <c r="B267" s="18"/>
      <c r="C267" s="18"/>
      <c r="D267" s="4"/>
      <c r="E267" s="4" t="n">
        <v>0.1</v>
      </c>
      <c r="F267" s="18" t="n">
        <f aca="false">TIME(10,22,0)</f>
        <v>0.431944444444444</v>
      </c>
      <c r="G267" s="18" t="n">
        <f aca="false">TIME(11,5,0)</f>
        <v>0.461805555555556</v>
      </c>
      <c r="H267" s="7" t="n">
        <f aca="false">E267*(G267-F267)*24</f>
        <v>0.071666667</v>
      </c>
      <c r="I267" s="7" t="n">
        <f aca="false">(C267-B267)*24</f>
        <v>0</v>
      </c>
      <c r="J267" s="7" t="n">
        <f aca="false">(G267-F267)*24</f>
        <v>0.71666667</v>
      </c>
    </row>
    <row r="268" customFormat="false" ht="15" hidden="false" customHeight="true" outlineLevel="0" collapsed="false">
      <c r="A268" s="4"/>
      <c r="B268" s="18"/>
      <c r="C268" s="18"/>
      <c r="D268" s="4"/>
      <c r="E268" s="4" t="n">
        <v>100</v>
      </c>
      <c r="F268" s="18" t="n">
        <f aca="false">TIME(11,15,0)</f>
        <v>0.46875</v>
      </c>
      <c r="G268" s="18" t="n">
        <f aca="false">TIME(11,55,0)</f>
        <v>0.496527777777778</v>
      </c>
      <c r="H268" s="7" t="n">
        <f aca="false">E268*(G268-F268)*24</f>
        <v>66.666667</v>
      </c>
      <c r="I268" s="7" t="n">
        <f aca="false">(C268-B268)*24</f>
        <v>0</v>
      </c>
      <c r="J268" s="7" t="n">
        <f aca="false">(G268-F268)*24</f>
        <v>0.66666667</v>
      </c>
    </row>
    <row r="269" customFormat="false" ht="15" hidden="false" customHeight="true" outlineLevel="0" collapsed="false">
      <c r="A269" s="4"/>
      <c r="B269" s="18"/>
      <c r="C269" s="18"/>
      <c r="D269" s="4"/>
      <c r="E269" s="4" t="n">
        <v>0.1</v>
      </c>
      <c r="F269" s="18" t="n">
        <f aca="false">TIME(12,4,0)</f>
        <v>0.502777777777778</v>
      </c>
      <c r="G269" s="18" t="n">
        <f aca="false">TIME(12,13,0)</f>
        <v>0.509027777777778</v>
      </c>
      <c r="H269" s="7" t="n">
        <f aca="false">E269*(G269-F269)*24</f>
        <v>0.015</v>
      </c>
      <c r="I269" s="7" t="n">
        <f aca="false">(C269-B269)*24</f>
        <v>0</v>
      </c>
      <c r="J269" s="7" t="n">
        <f aca="false">(G269-F269)*24</f>
        <v>0.15</v>
      </c>
    </row>
    <row r="270" customFormat="false" ht="15" hidden="false" customHeight="true" outlineLevel="0" collapsed="false">
      <c r="A270" s="24" t="n">
        <v>36229</v>
      </c>
      <c r="B270" s="18" t="n">
        <f aca="false">TIME(14,40,0)</f>
        <v>0.611111111111111</v>
      </c>
      <c r="C270" s="18" t="n">
        <f aca="false">TIME(16,43,0)</f>
        <v>0.696527777777778</v>
      </c>
      <c r="D270" s="4" t="s">
        <v>39</v>
      </c>
      <c r="E270" s="4" t="n">
        <v>0.01</v>
      </c>
      <c r="F270" s="18" t="n">
        <f aca="false">TIME(16,7,0)</f>
        <v>0.671527777777778</v>
      </c>
      <c r="G270" s="18" t="n">
        <f aca="false">TIME(16,14,0)</f>
        <v>0.676388888888889</v>
      </c>
      <c r="H270" s="7" t="n">
        <f aca="false">E270*(G270-F270)*24</f>
        <v>0.0011666667</v>
      </c>
      <c r="I270" s="7" t="n">
        <f aca="false">(C270-B270)*24</f>
        <v>2.05</v>
      </c>
      <c r="J270" s="7" t="n">
        <f aca="false">(G270-F270)*24</f>
        <v>0.11666667</v>
      </c>
    </row>
    <row r="271" customFormat="false" ht="15" hidden="false" customHeight="true" outlineLevel="0" collapsed="false">
      <c r="A271" s="4"/>
      <c r="B271" s="18"/>
      <c r="C271" s="18"/>
      <c r="D271" s="4"/>
      <c r="E271" s="4" t="n">
        <v>0.1</v>
      </c>
      <c r="F271" s="18" t="n">
        <f aca="false">TIME(16,20,0)</f>
        <v>0.680555555555556</v>
      </c>
      <c r="G271" s="18" t="n">
        <f aca="false">TIME(16,24,0)</f>
        <v>0.683333333333333</v>
      </c>
      <c r="H271" s="7" t="n">
        <f aca="false">E271*(G271-F271)*24</f>
        <v>0.0066666667</v>
      </c>
      <c r="I271" s="7" t="n">
        <f aca="false">(C271-B271)*24</f>
        <v>0</v>
      </c>
      <c r="J271" s="7" t="n">
        <f aca="false">(G271-F271)*24</f>
        <v>0.066666667</v>
      </c>
    </row>
    <row r="272" customFormat="false" ht="15" hidden="false" customHeight="true" outlineLevel="0" collapsed="false">
      <c r="A272" s="4"/>
      <c r="B272" s="18"/>
      <c r="C272" s="18"/>
      <c r="D272" s="4"/>
      <c r="E272" s="4" t="n">
        <v>0.01</v>
      </c>
      <c r="F272" s="18" t="n">
        <f aca="false">TIME(16,30,0)</f>
        <v>0.6875</v>
      </c>
      <c r="G272" s="18" t="n">
        <f aca="false">TIME(16,38,0)</f>
        <v>0.693055555555556</v>
      </c>
      <c r="H272" s="7" t="n">
        <f aca="false">E272*(G272-F272)*24</f>
        <v>0.0013333333</v>
      </c>
      <c r="I272" s="7" t="n">
        <f aca="false">(C272-B272)*24</f>
        <v>0</v>
      </c>
      <c r="J272" s="7" t="n">
        <f aca="false">(G272-F272)*24</f>
        <v>0.13333333</v>
      </c>
    </row>
    <row r="273" customFormat="false" ht="15" hidden="false" customHeight="true" outlineLevel="0" collapsed="false">
      <c r="A273" s="24" t="n">
        <v>36230</v>
      </c>
      <c r="B273" s="18" t="n">
        <f aca="false">TIME(8,11,0)</f>
        <v>0.340972222222222</v>
      </c>
      <c r="C273" s="18" t="n">
        <f aca="false">TIME(14,38,0)</f>
        <v>0.609722222222222</v>
      </c>
      <c r="D273" s="4" t="n">
        <v>5</v>
      </c>
      <c r="E273" s="4" t="n">
        <v>0.01</v>
      </c>
      <c r="F273" s="18" t="n">
        <f aca="false">TIME(9,5,0)</f>
        <v>0.378472222222222</v>
      </c>
      <c r="G273" s="18" t="n">
        <f aca="false">TIME(9,11,0)</f>
        <v>0.382638888888889</v>
      </c>
      <c r="H273" s="7" t="n">
        <f aca="false">E273*(G273-F273)*24</f>
        <v>0.001</v>
      </c>
      <c r="I273" s="7" t="n">
        <f aca="false">(C273-B273)*24</f>
        <v>6.45</v>
      </c>
      <c r="J273" s="7" t="n">
        <f aca="false">(G273-F273)*24</f>
        <v>0.1</v>
      </c>
    </row>
    <row r="274" customFormat="false" ht="15" hidden="false" customHeight="true" outlineLevel="0" collapsed="false">
      <c r="A274" s="4"/>
      <c r="B274" s="18"/>
      <c r="C274" s="18"/>
      <c r="D274" s="4"/>
      <c r="E274" s="4" t="n">
        <v>100</v>
      </c>
      <c r="F274" s="18" t="n">
        <f aca="false">TIME(9,27,0)</f>
        <v>0.39375</v>
      </c>
      <c r="G274" s="18" t="n">
        <f aca="false">TIME(9,52,0)</f>
        <v>0.411111111111111</v>
      </c>
      <c r="H274" s="7" t="n">
        <f aca="false">E274*(G274-F274)*24</f>
        <v>41.666667</v>
      </c>
      <c r="I274" s="7" t="n">
        <f aca="false">(C274-B274)*24</f>
        <v>0</v>
      </c>
      <c r="J274" s="7" t="n">
        <f aca="false">(G274-F274)*24</f>
        <v>0.41666667</v>
      </c>
    </row>
    <row r="275" customFormat="false" ht="15" hidden="false" customHeight="true" outlineLevel="0" collapsed="false">
      <c r="A275" s="4"/>
      <c r="B275" s="18"/>
      <c r="C275" s="18"/>
      <c r="D275" s="4"/>
      <c r="E275" s="4" t="n">
        <v>0.1</v>
      </c>
      <c r="F275" s="18" t="n">
        <f aca="false">TIME(10,4,0)</f>
        <v>0.419444444444444</v>
      </c>
      <c r="G275" s="18" t="n">
        <f aca="false">TIME(10,45,0)</f>
        <v>0.447916666666667</v>
      </c>
      <c r="H275" s="7" t="n">
        <f aca="false">E275*(G275-F275)*24</f>
        <v>0.068333333</v>
      </c>
      <c r="I275" s="7" t="n">
        <f aca="false">(C275-B275)*24</f>
        <v>0</v>
      </c>
      <c r="J275" s="7" t="n">
        <f aca="false">(G275-F275)*24</f>
        <v>0.68333333</v>
      </c>
    </row>
    <row r="276" customFormat="false" ht="15" hidden="false" customHeight="true" outlineLevel="0" collapsed="false">
      <c r="A276" s="4"/>
      <c r="B276" s="18"/>
      <c r="C276" s="18"/>
      <c r="D276" s="4"/>
      <c r="E276" s="4" t="n">
        <v>2</v>
      </c>
      <c r="F276" s="18" t="n">
        <f aca="false">TIME(10,56,0)</f>
        <v>0.455555555555556</v>
      </c>
      <c r="G276" s="18" t="n">
        <f aca="false">TIME(11,7,0)</f>
        <v>0.463194444444444</v>
      </c>
      <c r="H276" s="7" t="n">
        <f aca="false">E276*(G276-F276)*24</f>
        <v>0.36666667</v>
      </c>
      <c r="I276" s="7" t="n">
        <f aca="false">(C276-B276)*24</f>
        <v>0</v>
      </c>
      <c r="J276" s="7" t="n">
        <f aca="false">(G276-F276)*24</f>
        <v>0.18333333</v>
      </c>
    </row>
    <row r="277" customFormat="false" ht="15" hidden="false" customHeight="true" outlineLevel="0" collapsed="false">
      <c r="A277" s="4"/>
      <c r="B277" s="18"/>
      <c r="C277" s="18"/>
      <c r="D277" s="4"/>
      <c r="E277" s="4" t="n">
        <v>100</v>
      </c>
      <c r="F277" s="18" t="n">
        <f aca="false">TIME(11,18,0)</f>
        <v>0.470833333333333</v>
      </c>
      <c r="G277" s="18" t="n">
        <f aca="false">TIME(11,54,0)</f>
        <v>0.495833333333333</v>
      </c>
      <c r="H277" s="7" t="n">
        <f aca="false">E277*(G277-F277)*24</f>
        <v>60</v>
      </c>
      <c r="I277" s="7" t="n">
        <f aca="false">(C277-B277)*24</f>
        <v>0</v>
      </c>
      <c r="J277" s="7" t="n">
        <f aca="false">(G277-F277)*24</f>
        <v>0.6</v>
      </c>
    </row>
    <row r="278" customFormat="false" ht="15" hidden="false" customHeight="true" outlineLevel="0" collapsed="false">
      <c r="A278" s="4"/>
      <c r="B278" s="18"/>
      <c r="C278" s="18"/>
      <c r="D278" s="4"/>
      <c r="E278" s="4" t="n">
        <v>0</v>
      </c>
      <c r="F278" s="18" t="n">
        <f aca="false">TIME(11,54,0)</f>
        <v>0.495833333333333</v>
      </c>
      <c r="G278" s="18" t="n">
        <f aca="false">TIME(13,8,0)</f>
        <v>0.547222222222222</v>
      </c>
      <c r="H278" s="7" t="n">
        <f aca="false">E278*(G278-F278)*24</f>
        <v>0</v>
      </c>
      <c r="I278" s="7" t="n">
        <f aca="false">(C278-B278)*24</f>
        <v>0</v>
      </c>
      <c r="J278" s="7" t="n">
        <f aca="false">(G278-F278)*24</f>
        <v>1.2333333</v>
      </c>
    </row>
    <row r="279" customFormat="false" ht="15" hidden="false" customHeight="true" outlineLevel="0" collapsed="false">
      <c r="A279" s="4"/>
      <c r="B279" s="18"/>
      <c r="C279" s="18"/>
      <c r="D279" s="4"/>
      <c r="E279" s="4" t="n">
        <v>0.01</v>
      </c>
      <c r="F279" s="18" t="n">
        <f aca="false">TIME(13,40,0)</f>
        <v>0.569444444444444</v>
      </c>
      <c r="G279" s="18" t="n">
        <f aca="false">TIME(13,42,0)</f>
        <v>0.570833333333333</v>
      </c>
      <c r="H279" s="7" t="n">
        <f aca="false">E279*(G279-F279)*24</f>
        <v>0.00033333333</v>
      </c>
      <c r="I279" s="7" t="n">
        <f aca="false">(C279-B279)*24</f>
        <v>0</v>
      </c>
      <c r="J279" s="7" t="n">
        <f aca="false">(G279-F279)*24</f>
        <v>0.033333333</v>
      </c>
    </row>
    <row r="280" customFormat="false" ht="15" hidden="false" customHeight="true" outlineLevel="0" collapsed="false">
      <c r="A280" s="4"/>
      <c r="B280" s="18"/>
      <c r="C280" s="18"/>
      <c r="D280" s="4"/>
      <c r="E280" s="4" t="n">
        <v>100</v>
      </c>
      <c r="F280" s="18" t="n">
        <f aca="false">TIME(13,54,0)</f>
        <v>0.579166666666667</v>
      </c>
      <c r="G280" s="18" t="n">
        <f aca="false">TIME(14,33,0)</f>
        <v>0.60625</v>
      </c>
      <c r="H280" s="7" t="n">
        <f aca="false">E280*(G280-F280)*24</f>
        <v>65</v>
      </c>
      <c r="I280" s="7" t="n">
        <f aca="false">(C280-B280)*24</f>
        <v>0</v>
      </c>
      <c r="J280" s="7" t="n">
        <f aca="false">(G280-F280)*24</f>
        <v>0.65</v>
      </c>
    </row>
    <row r="281" customFormat="false" ht="15" hidden="false" customHeight="true" outlineLevel="0" collapsed="false">
      <c r="A281" s="24" t="n">
        <v>36236</v>
      </c>
      <c r="B281" s="18" t="n">
        <f aca="false">TIME(8,57,0)</f>
        <v>0.372916666666667</v>
      </c>
      <c r="C281" s="18" t="n">
        <f aca="false">TIME(11,50,0)</f>
        <v>0.493055555555556</v>
      </c>
      <c r="D281" s="4" t="n">
        <v>5</v>
      </c>
      <c r="E281" s="4" t="n">
        <v>0.01</v>
      </c>
      <c r="F281" s="18" t="n">
        <f aca="false">TIME(9,58,0)</f>
        <v>0.415277777777778</v>
      </c>
      <c r="G281" s="18" t="n">
        <f aca="false">TIME(10,4,0)</f>
        <v>0.419444444444444</v>
      </c>
      <c r="H281" s="7" t="n">
        <f aca="false">E281*(G281-F281)*24</f>
        <v>0.001</v>
      </c>
      <c r="I281" s="7" t="n">
        <f aca="false">(C281-B281)*24</f>
        <v>2.8833333</v>
      </c>
      <c r="J281" s="7" t="n">
        <f aca="false">(G281-F281)*24</f>
        <v>0.1</v>
      </c>
    </row>
    <row r="282" customFormat="false" ht="15" hidden="false" customHeight="true" outlineLevel="0" collapsed="false">
      <c r="A282" s="4"/>
      <c r="B282" s="18"/>
      <c r="C282" s="18"/>
      <c r="D282" s="4"/>
      <c r="E282" s="4" t="n">
        <v>0.1</v>
      </c>
      <c r="F282" s="18" t="n">
        <f aca="false">TIME(10,9,0)</f>
        <v>0.422916666666667</v>
      </c>
      <c r="G282" s="18" t="n">
        <f aca="false">TIME(10,47,0)</f>
        <v>0.449305555555556</v>
      </c>
      <c r="H282" s="7" t="n">
        <f aca="false">E282*(G282-F282)*24</f>
        <v>0.063333333</v>
      </c>
      <c r="I282" s="7" t="n">
        <f aca="false">(C282-B282)*24</f>
        <v>0</v>
      </c>
      <c r="J282" s="7" t="n">
        <f aca="false">(G282-F282)*24</f>
        <v>0.63333333</v>
      </c>
    </row>
    <row r="283" customFormat="false" ht="15" hidden="false" customHeight="true" outlineLevel="0" collapsed="false">
      <c r="A283" s="4"/>
      <c r="B283" s="18"/>
      <c r="C283" s="18"/>
      <c r="D283" s="4"/>
      <c r="E283" s="4" t="n">
        <v>100</v>
      </c>
      <c r="F283" s="18" t="n">
        <f aca="false">TIME(10,57,0)</f>
        <v>0.45625</v>
      </c>
      <c r="G283" s="18" t="n">
        <f aca="false">TIME(11,28,0)</f>
        <v>0.477777777777778</v>
      </c>
      <c r="H283" s="7" t="n">
        <f aca="false">E283*(G283-F283)*24</f>
        <v>51.666667</v>
      </c>
      <c r="I283" s="7" t="n">
        <f aca="false">(C283-B283)*24</f>
        <v>0</v>
      </c>
      <c r="J283" s="7" t="n">
        <f aca="false">(G283-F283)*24</f>
        <v>0.51666667</v>
      </c>
    </row>
    <row r="284" customFormat="false" ht="15" hidden="false" customHeight="true" outlineLevel="0" collapsed="false">
      <c r="A284" s="4"/>
      <c r="B284" s="18"/>
      <c r="C284" s="18"/>
      <c r="D284" s="4"/>
      <c r="E284" s="4" t="n">
        <v>0.1</v>
      </c>
      <c r="F284" s="18" t="n">
        <f aca="false">TIME(11,38,0)</f>
        <v>0.484722222222222</v>
      </c>
      <c r="G284" s="18" t="n">
        <f aca="false">TIME(11,45,0)</f>
        <v>0.489583333333333</v>
      </c>
      <c r="H284" s="7" t="n">
        <f aca="false">E284*(G284-F284)*24</f>
        <v>0.011666667</v>
      </c>
      <c r="I284" s="7" t="n">
        <f aca="false">(C284-B284)*24</f>
        <v>0</v>
      </c>
      <c r="J284" s="7" t="n">
        <f aca="false">(G284-F284)*24</f>
        <v>0.11666667</v>
      </c>
    </row>
    <row r="285" customFormat="false" ht="15" hidden="false" customHeight="true" outlineLevel="0" collapsed="false">
      <c r="A285" s="24" t="n">
        <v>36236</v>
      </c>
      <c r="B285" s="18" t="n">
        <f aca="false">TIME(14,35,0)</f>
        <v>0.607638888888889</v>
      </c>
      <c r="C285" s="18" t="n">
        <f aca="false">TIME(16,20,0)</f>
        <v>0.680555555555556</v>
      </c>
      <c r="D285" s="4" t="s">
        <v>39</v>
      </c>
      <c r="E285" s="4" t="n">
        <v>0.01</v>
      </c>
      <c r="F285" s="18" t="n">
        <f aca="false">TIME(15,59,0)</f>
        <v>0.665972222222222</v>
      </c>
      <c r="G285" s="25" t="n">
        <f aca="false">TIME(16,5,0)</f>
        <v>0.670138888888889</v>
      </c>
      <c r="H285" s="7" t="n">
        <f aca="false">E285*(G285-F285)*24</f>
        <v>0.001</v>
      </c>
      <c r="I285" s="7" t="n">
        <f aca="false">(C285-B285)*24</f>
        <v>1.75</v>
      </c>
      <c r="J285" s="7" t="n">
        <f aca="false">(G285-F285)*24</f>
        <v>0.1</v>
      </c>
    </row>
    <row r="286" customFormat="false" ht="15" hidden="false" customHeight="true" outlineLevel="0" collapsed="false">
      <c r="A286" s="26"/>
      <c r="B286" s="18"/>
      <c r="C286" s="25"/>
      <c r="D286" s="26"/>
      <c r="E286" s="26" t="n">
        <v>0.1</v>
      </c>
      <c r="F286" s="25" t="n">
        <f aca="false">TIME(16,12,0)</f>
        <v>0.675</v>
      </c>
      <c r="G286" s="25" t="n">
        <f aca="false">TIME(16,15,0)</f>
        <v>0.677083333333333</v>
      </c>
      <c r="H286" s="7" t="n">
        <f aca="false">E286*(G286-F286)*24</f>
        <v>0.005</v>
      </c>
      <c r="I286" s="7" t="n">
        <f aca="false">(C286-B286)*24</f>
        <v>0</v>
      </c>
      <c r="J286" s="7" t="n">
        <f aca="false">(G286-F286)*24</f>
        <v>0.05</v>
      </c>
    </row>
    <row r="287" customFormat="false" ht="15" hidden="false" customHeight="true" outlineLevel="0" collapsed="false">
      <c r="A287" s="27" t="n">
        <v>36237</v>
      </c>
      <c r="B287" s="18" t="n">
        <f aca="false">TIME(12,33,0)</f>
        <v>0.522916666666667</v>
      </c>
      <c r="C287" s="25" t="n">
        <f aca="false">TIME(14,7,0)</f>
        <v>0.588194444444445</v>
      </c>
      <c r="D287" s="26" t="s">
        <v>39</v>
      </c>
      <c r="E287" s="26" t="n">
        <v>0.01</v>
      </c>
      <c r="F287" s="25" t="n">
        <f aca="false">TIME(13,43,0)</f>
        <v>0.571527777777778</v>
      </c>
      <c r="G287" s="25" t="n">
        <f aca="false">TIME(13,50,0)</f>
        <v>0.576388888888889</v>
      </c>
      <c r="H287" s="7" t="n">
        <f aca="false">E287*(G287-F287)*24</f>
        <v>0.0011666667</v>
      </c>
      <c r="I287" s="7" t="n">
        <f aca="false">(C287-B287)*24</f>
        <v>1.5666667</v>
      </c>
      <c r="J287" s="7" t="n">
        <f aca="false">(G287-F287)*24</f>
        <v>0.11666667</v>
      </c>
    </row>
    <row r="288" customFormat="false" ht="15" hidden="false" customHeight="true" outlineLevel="0" collapsed="false">
      <c r="A288" s="26"/>
      <c r="B288" s="18"/>
      <c r="C288" s="25"/>
      <c r="D288" s="26"/>
      <c r="E288" s="26" t="n">
        <v>0.1</v>
      </c>
      <c r="F288" s="25" t="n">
        <f aca="false">TIME(13,56,0)</f>
        <v>0.580555555555556</v>
      </c>
      <c r="G288" s="25" t="n">
        <f aca="false">TIME(14,2,0)</f>
        <v>0.584722222222222</v>
      </c>
      <c r="H288" s="7" t="n">
        <f aca="false">E288*(G288-F288)*24</f>
        <v>0.01</v>
      </c>
      <c r="I288" s="7" t="n">
        <f aca="false">(C288-B288)*24</f>
        <v>0</v>
      </c>
      <c r="J288" s="7" t="n">
        <f aca="false">(G288-F288)*24</f>
        <v>0.1</v>
      </c>
    </row>
    <row r="289" customFormat="false" ht="15" hidden="false" customHeight="true" outlineLevel="0" collapsed="false">
      <c r="A289" s="27" t="n">
        <v>36237</v>
      </c>
      <c r="B289" s="18" t="n">
        <f aca="false">TIME(14,21,0)</f>
        <v>0.597916666666667</v>
      </c>
      <c r="C289" s="25" t="n">
        <f aca="false">TIME(16,5,0)</f>
        <v>0.670138888888889</v>
      </c>
      <c r="D289" s="26" t="s">
        <v>39</v>
      </c>
      <c r="E289" s="26" t="n">
        <v>0.01</v>
      </c>
      <c r="F289" s="25" t="n">
        <f aca="false">TIME(15,52,0)</f>
        <v>0.661111111111111</v>
      </c>
      <c r="G289" s="25" t="n">
        <f aca="false">TIME(16,0,0)</f>
        <v>0.666666666666667</v>
      </c>
      <c r="H289" s="7" t="n">
        <f aca="false">E289*(G289-F289)*24</f>
        <v>0.0013333333</v>
      </c>
      <c r="I289" s="7" t="n">
        <f aca="false">(C289-B289)*24</f>
        <v>1.7333333</v>
      </c>
      <c r="J289" s="7" t="n">
        <f aca="false">(G289-F289)*24</f>
        <v>0.13333333</v>
      </c>
    </row>
    <row r="290" customFormat="false" ht="15" hidden="false" customHeight="true" outlineLevel="0" collapsed="false">
      <c r="A290" s="27" t="n">
        <v>36238</v>
      </c>
      <c r="B290" s="18" t="n">
        <f aca="false">TIME(8,8,0)</f>
        <v>0.338888888888889</v>
      </c>
      <c r="C290" s="25" t="n">
        <f aca="false">TIME(14,14,0)</f>
        <v>0.593055555555556</v>
      </c>
      <c r="D290" s="26" t="n">
        <v>5</v>
      </c>
      <c r="E290" s="26" t="n">
        <v>0.01</v>
      </c>
      <c r="F290" s="25" t="n">
        <f aca="false">TIME(8,43,0)</f>
        <v>0.363194444444444</v>
      </c>
      <c r="G290" s="25" t="n">
        <f aca="false">TIME(8,46,0)</f>
        <v>0.365277777777778</v>
      </c>
      <c r="H290" s="7" t="n">
        <f aca="false">E290*(G290-F290)*24</f>
        <v>0.0005</v>
      </c>
      <c r="I290" s="7" t="n">
        <f aca="false">(C290-B290)*24</f>
        <v>6.1</v>
      </c>
      <c r="J290" s="7" t="n">
        <f aca="false">(G290-F290)*24</f>
        <v>0.05</v>
      </c>
    </row>
    <row r="291" customFormat="false" ht="15" hidden="false" customHeight="true" outlineLevel="0" collapsed="false">
      <c r="A291" s="26"/>
      <c r="B291" s="18"/>
      <c r="C291" s="25"/>
      <c r="D291" s="26"/>
      <c r="E291" s="26" t="n">
        <v>0.1</v>
      </c>
      <c r="F291" s="25" t="n">
        <f aca="false">TIME(8,52,0)</f>
        <v>0.369444444444444</v>
      </c>
      <c r="G291" s="25" t="n">
        <f aca="false">TIME(10,9,0)</f>
        <v>0.422916666666667</v>
      </c>
      <c r="H291" s="7" t="n">
        <f aca="false">E291*(G291-F291)*24</f>
        <v>0.12833333</v>
      </c>
      <c r="I291" s="7" t="n">
        <f aca="false">(C291-B291)*24</f>
        <v>0</v>
      </c>
      <c r="J291" s="7" t="n">
        <f aca="false">(G291-F291)*24</f>
        <v>1.2833333</v>
      </c>
    </row>
    <row r="292" customFormat="false" ht="15" hidden="false" customHeight="true" outlineLevel="0" collapsed="false">
      <c r="A292" s="27" t="n">
        <v>36242</v>
      </c>
      <c r="B292" s="18" t="n">
        <f aca="false">TIME(11,50,0)</f>
        <v>0.493055555555556</v>
      </c>
      <c r="C292" s="25" t="n">
        <f aca="false">TIME(13,44,0)</f>
        <v>0.572222222222222</v>
      </c>
      <c r="D292" s="26" t="n">
        <v>5</v>
      </c>
      <c r="E292" s="26" t="n">
        <v>0.01</v>
      </c>
      <c r="F292" s="25" t="n">
        <f aca="false">TIME(12,38,0)</f>
        <v>0.526388888888889</v>
      </c>
      <c r="G292" s="25" t="n">
        <f aca="false">TIME(12,41,0)</f>
        <v>0.528472222222222</v>
      </c>
      <c r="H292" s="7" t="n">
        <f aca="false">E292*(G292-F292)*24</f>
        <v>0.0005</v>
      </c>
      <c r="I292" s="7" t="n">
        <f aca="false">(C292-B292)*24</f>
        <v>1.9</v>
      </c>
      <c r="J292" s="7" t="n">
        <f aca="false">(G292-F292)*24</f>
        <v>0.05</v>
      </c>
    </row>
    <row r="293" customFormat="false" ht="15" hidden="false" customHeight="true" outlineLevel="0" collapsed="false">
      <c r="A293" s="26"/>
      <c r="B293" s="18"/>
      <c r="C293" s="25"/>
      <c r="D293" s="26"/>
      <c r="E293" s="26" t="n">
        <v>100</v>
      </c>
      <c r="F293" s="25" t="n">
        <f aca="false">TIME(12,54,0)</f>
        <v>0.5375</v>
      </c>
      <c r="G293" s="25" t="n">
        <f aca="false">TIME(13,39,0)</f>
        <v>0.56875</v>
      </c>
      <c r="H293" s="7" t="n">
        <f aca="false">E293*(G293-F293)*24</f>
        <v>75</v>
      </c>
      <c r="I293" s="7" t="n">
        <f aca="false">(C293-B293)*24</f>
        <v>0</v>
      </c>
      <c r="J293" s="7" t="n">
        <f aca="false">(G293-F293)*24</f>
        <v>0.75</v>
      </c>
    </row>
    <row r="294" customFormat="false" ht="15" hidden="false" customHeight="true" outlineLevel="0" collapsed="false">
      <c r="A294" s="27" t="n">
        <v>36248</v>
      </c>
      <c r="B294" s="18" t="n">
        <f aca="false">TIME(10,39,0)</f>
        <v>0.44375</v>
      </c>
      <c r="C294" s="25" t="n">
        <f aca="false">TIME(14,41,0)</f>
        <v>0.611805555555556</v>
      </c>
      <c r="D294" s="26" t="n">
        <v>4</v>
      </c>
      <c r="E294" s="26" t="n">
        <v>0.01</v>
      </c>
      <c r="F294" s="25" t="n">
        <f aca="false">TIME(12,14,0)</f>
        <v>0.509722222222222</v>
      </c>
      <c r="G294" s="25" t="n">
        <f aca="false">TIME(12,16,0)</f>
        <v>0.511111111111111</v>
      </c>
      <c r="H294" s="7" t="n">
        <f aca="false">E294*(G294-F294)*24</f>
        <v>0.00033333333</v>
      </c>
      <c r="I294" s="7" t="n">
        <f aca="false">(C294-B294)*24</f>
        <v>4.0333333</v>
      </c>
      <c r="J294" s="7" t="n">
        <f aca="false">(G294-F294)*24</f>
        <v>0.033333333</v>
      </c>
    </row>
    <row r="295" customFormat="false" ht="15" hidden="false" customHeight="true" outlineLevel="0" collapsed="false">
      <c r="A295" s="26"/>
      <c r="B295" s="18"/>
      <c r="C295" s="25"/>
      <c r="D295" s="26"/>
      <c r="E295" s="26" t="n">
        <v>10</v>
      </c>
      <c r="F295" s="25" t="n">
        <f aca="false">TIME(12,25,0)</f>
        <v>0.517361111111111</v>
      </c>
      <c r="G295" s="25" t="n">
        <f aca="false">TIME(12,28,0)</f>
        <v>0.519444444444445</v>
      </c>
      <c r="H295" s="7" t="n">
        <f aca="false">E295*(G295-F295)*24</f>
        <v>0.5</v>
      </c>
      <c r="I295" s="7" t="n">
        <f aca="false">(C295-B295)*24</f>
        <v>0</v>
      </c>
      <c r="J295" s="7" t="n">
        <f aca="false">(G295-F295)*24</f>
        <v>0.05</v>
      </c>
    </row>
    <row r="296" customFormat="false" ht="15" hidden="false" customHeight="true" outlineLevel="0" collapsed="false">
      <c r="A296" s="26"/>
      <c r="B296" s="18"/>
      <c r="C296" s="25"/>
      <c r="D296" s="26"/>
      <c r="E296" s="26" t="n">
        <v>180</v>
      </c>
      <c r="F296" s="25" t="n">
        <f aca="false">TIME(12,36,0)</f>
        <v>0.525</v>
      </c>
      <c r="G296" s="25" t="n">
        <f aca="false">TIME(14,36,0)</f>
        <v>0.608333333333333</v>
      </c>
      <c r="H296" s="7" t="n">
        <f aca="false">E296*(G296-F296)*24</f>
        <v>360</v>
      </c>
      <c r="I296" s="7" t="n">
        <f aca="false">(C296-B296)*24</f>
        <v>0</v>
      </c>
      <c r="J296" s="7" t="n">
        <f aca="false">(G296-F296)*24</f>
        <v>2</v>
      </c>
    </row>
    <row r="297" customFormat="false" ht="15" hidden="false" customHeight="true" outlineLevel="0" collapsed="false">
      <c r="A297" s="27" t="n">
        <v>36249</v>
      </c>
      <c r="B297" s="18" t="n">
        <f aca="false">TIME(11,50,0)</f>
        <v>0.493055555555556</v>
      </c>
      <c r="C297" s="25" t="n">
        <f aca="false">TIME(14,35,0)</f>
        <v>0.607638888888889</v>
      </c>
      <c r="D297" s="26" t="n">
        <v>4</v>
      </c>
      <c r="E297" s="26" t="n">
        <v>0.01</v>
      </c>
      <c r="F297" s="25" t="n">
        <f aca="false">TIME(12,31,0)</f>
        <v>0.521527777777778</v>
      </c>
      <c r="G297" s="25" t="n">
        <f aca="false">TIME(12,34,0)</f>
        <v>0.523611111111111</v>
      </c>
      <c r="H297" s="7" t="n">
        <f aca="false">E297*(G297-F297)*24</f>
        <v>0.0005</v>
      </c>
      <c r="I297" s="7" t="n">
        <f aca="false">(C297-B297)*24</f>
        <v>2.75</v>
      </c>
      <c r="J297" s="7" t="n">
        <f aca="false">(G297-F297)*24</f>
        <v>0.05</v>
      </c>
    </row>
    <row r="298" customFormat="false" ht="15" hidden="false" customHeight="true" outlineLevel="0" collapsed="false">
      <c r="A298" s="26"/>
      <c r="B298" s="18"/>
      <c r="C298" s="25"/>
      <c r="D298" s="26"/>
      <c r="E298" s="26" t="n">
        <v>10</v>
      </c>
      <c r="F298" s="25" t="n">
        <f aca="false">TIME(12,44,0)</f>
        <v>0.530555555555556</v>
      </c>
      <c r="G298" s="25" t="n">
        <f aca="false">TIME(12,46,0)</f>
        <v>0.531944444444444</v>
      </c>
      <c r="H298" s="7" t="n">
        <f aca="false">E298*(G298-F298)*24</f>
        <v>0.33333333</v>
      </c>
      <c r="I298" s="7" t="n">
        <f aca="false">(C298-B298)*24</f>
        <v>0</v>
      </c>
      <c r="J298" s="7" t="n">
        <f aca="false">(G298-F298)*24</f>
        <v>0.033333333</v>
      </c>
    </row>
    <row r="299" customFormat="false" ht="15" hidden="false" customHeight="true" outlineLevel="0" collapsed="false">
      <c r="A299" s="26"/>
      <c r="B299" s="18"/>
      <c r="C299" s="25"/>
      <c r="D299" s="26"/>
      <c r="E299" s="26" t="n">
        <v>180</v>
      </c>
      <c r="F299" s="25" t="n">
        <f aca="false">TIME(12,53,0)</f>
        <v>0.536805555555556</v>
      </c>
      <c r="G299" s="25" t="n">
        <f aca="false">TIME(14,30,0)</f>
        <v>0.604166666666667</v>
      </c>
      <c r="H299" s="7" t="n">
        <f aca="false">E299*(G299-F299)*24</f>
        <v>291</v>
      </c>
      <c r="I299" s="7" t="n">
        <f aca="false">(C299-B299)*24</f>
        <v>0</v>
      </c>
      <c r="J299" s="7" t="n">
        <f aca="false">(G299-F299)*24</f>
        <v>1.6166667</v>
      </c>
    </row>
    <row r="300" customFormat="false" ht="15" hidden="false" customHeight="true" outlineLevel="0" collapsed="false">
      <c r="A300" s="27" t="n">
        <v>36250</v>
      </c>
      <c r="B300" s="18" t="n">
        <f aca="false">TIME(8,23,0)</f>
        <v>0.349305555555556</v>
      </c>
      <c r="C300" s="25" t="n">
        <f aca="false">TIME(12,50,0)</f>
        <v>0.534722222222222</v>
      </c>
      <c r="D300" s="26" t="n">
        <v>5</v>
      </c>
      <c r="E300" s="26" t="n">
        <v>0.01</v>
      </c>
      <c r="F300" s="25" t="n">
        <f aca="false">TIME(9,7,0)</f>
        <v>0.379861111111111</v>
      </c>
      <c r="G300" s="25" t="n">
        <f aca="false">TIME(9,10,0)</f>
        <v>0.381944444444444</v>
      </c>
      <c r="H300" s="7" t="n">
        <f aca="false">E300*(G300-F300)*24</f>
        <v>0.0005</v>
      </c>
      <c r="I300" s="7" t="n">
        <f aca="false">(C300-B300)*24</f>
        <v>4.45</v>
      </c>
      <c r="J300" s="7" t="n">
        <f aca="false">(G300-F300)*24</f>
        <v>0.05</v>
      </c>
    </row>
    <row r="301" customFormat="false" ht="15" hidden="false" customHeight="true" outlineLevel="0" collapsed="false">
      <c r="A301" s="26"/>
      <c r="B301" s="18"/>
      <c r="C301" s="25"/>
      <c r="D301" s="26"/>
      <c r="E301" s="26" t="n">
        <v>0.1</v>
      </c>
      <c r="F301" s="25" t="n">
        <f aca="false">TIME(9,14,0)</f>
        <v>0.384722222222222</v>
      </c>
      <c r="G301" s="25" t="n">
        <f aca="false">TIME(9,35,0)</f>
        <v>0.399305555555556</v>
      </c>
      <c r="H301" s="7" t="n">
        <f aca="false">E301*(G301-F301)*24</f>
        <v>0.035</v>
      </c>
      <c r="I301" s="7" t="n">
        <f aca="false">(C301-B301)*24</f>
        <v>0</v>
      </c>
      <c r="J301" s="7" t="n">
        <f aca="false">(G301-F301)*24</f>
        <v>0.35</v>
      </c>
    </row>
    <row r="302" customFormat="false" ht="15" hidden="false" customHeight="true" outlineLevel="0" collapsed="false">
      <c r="A302" s="26"/>
      <c r="B302" s="18"/>
      <c r="C302" s="25"/>
      <c r="D302" s="26"/>
      <c r="E302" s="26" t="n">
        <v>10</v>
      </c>
      <c r="F302" s="25" t="n">
        <f aca="false">TIME(9,43,0)</f>
        <v>0.404861111111111</v>
      </c>
      <c r="G302" s="25" t="n">
        <f aca="false">TIME(9,45,0)</f>
        <v>0.40625</v>
      </c>
      <c r="H302" s="7" t="n">
        <f aca="false">E302*(G302-F302)*24</f>
        <v>0.33333333</v>
      </c>
      <c r="I302" s="7" t="n">
        <f aca="false">(C302-B302)*24</f>
        <v>0</v>
      </c>
      <c r="J302" s="7" t="n">
        <f aca="false">(G302-F302)*24</f>
        <v>0.033333333</v>
      </c>
    </row>
    <row r="303" customFormat="false" ht="15" hidden="false" customHeight="true" outlineLevel="0" collapsed="false">
      <c r="A303" s="26"/>
      <c r="B303" s="18"/>
      <c r="C303" s="25"/>
      <c r="D303" s="26"/>
      <c r="E303" s="26" t="n">
        <v>180</v>
      </c>
      <c r="F303" s="25" t="n">
        <f aca="false">TIME(9,52,0)</f>
        <v>0.411111111111111</v>
      </c>
      <c r="G303" s="25" t="n">
        <f aca="false">TIME(12,45,0)</f>
        <v>0.53125</v>
      </c>
      <c r="H303" s="7" t="n">
        <f aca="false">E303*(G303-F303)*24</f>
        <v>519</v>
      </c>
      <c r="I303" s="7" t="n">
        <f aca="false">(C303-B303)*24</f>
        <v>0</v>
      </c>
      <c r="J303" s="7" t="n">
        <f aca="false">(G303-F303)*24</f>
        <v>2.8833333</v>
      </c>
    </row>
    <row r="304" customFormat="false" ht="15" hidden="false" customHeight="true" outlineLevel="0" collapsed="false">
      <c r="A304" s="27" t="n">
        <v>36250</v>
      </c>
      <c r="B304" s="18" t="n">
        <f aca="false">TIME(8,14,0)</f>
        <v>0.343055555555556</v>
      </c>
      <c r="C304" s="25" t="n">
        <f aca="false">TIME(16,24,0)</f>
        <v>0.683333333333333</v>
      </c>
      <c r="D304" s="26" t="s">
        <v>52</v>
      </c>
      <c r="E304" s="26" t="n">
        <v>0.01</v>
      </c>
      <c r="F304" s="25" t="n">
        <f aca="false">TIME(16,19,0)</f>
        <v>0.679861111111111</v>
      </c>
      <c r="G304" s="25" t="n">
        <f aca="false">TIME(16,24,0)</f>
        <v>0.683333333333333</v>
      </c>
      <c r="H304" s="7" t="n">
        <f aca="false">E304*(G304-F304)*24</f>
        <v>0.00083333333</v>
      </c>
      <c r="I304" s="7" t="n">
        <f aca="false">(C304-B304)*24</f>
        <v>8.1666667</v>
      </c>
      <c r="J304" s="7" t="n">
        <f aca="false">(G304-F304)*24</f>
        <v>0.083333333</v>
      </c>
    </row>
    <row r="305" customFormat="false" ht="15" hidden="false" customHeight="true" outlineLevel="0" collapsed="false">
      <c r="B305" s="18"/>
      <c r="C305" s="28"/>
      <c r="F305" s="28"/>
      <c r="G305" s="28"/>
    </row>
    <row r="306" customFormat="false" ht="15" hidden="false" customHeight="true" outlineLevel="0" collapsed="false">
      <c r="B306" s="18"/>
      <c r="C306" s="28"/>
      <c r="F306" s="28"/>
      <c r="G306" s="28"/>
    </row>
    <row r="307" customFormat="false" ht="15" hidden="false" customHeight="true" outlineLevel="0" collapsed="false">
      <c r="B307" s="18"/>
      <c r="C307" s="28"/>
      <c r="F307" s="28"/>
      <c r="G307" s="28"/>
    </row>
    <row r="308" customFormat="false" ht="13" hidden="false" customHeight="true" outlineLevel="0" collapsed="false">
      <c r="B308" s="29"/>
      <c r="C308" s="28"/>
      <c r="F308" s="28"/>
    </row>
    <row r="309" customFormat="false" ht="13" hidden="false" customHeight="true" outlineLevel="0" collapsed="false">
      <c r="B309" s="29"/>
      <c r="C309" s="28"/>
      <c r="F309" s="28"/>
    </row>
    <row r="310" customFormat="false" ht="13" hidden="false" customHeight="true" outlineLevel="0" collapsed="false">
      <c r="B310" s="29"/>
      <c r="C310" s="28"/>
      <c r="F310" s="28"/>
    </row>
    <row r="311" customFormat="false" ht="13" hidden="false" customHeight="true" outlineLevel="0" collapsed="false">
      <c r="B311" s="29"/>
      <c r="C311" s="28"/>
      <c r="F311" s="28"/>
    </row>
    <row r="312" customFormat="false" ht="13" hidden="false" customHeight="true" outlineLevel="0" collapsed="false">
      <c r="B312" s="29"/>
      <c r="C312" s="28"/>
      <c r="F312" s="28"/>
    </row>
    <row r="313" customFormat="false" ht="13" hidden="false" customHeight="true" outlineLevel="0" collapsed="false">
      <c r="B313" s="29"/>
      <c r="C313" s="28"/>
      <c r="F313" s="28"/>
    </row>
    <row r="314" customFormat="false" ht="13" hidden="false" customHeight="true" outlineLevel="0" collapsed="false">
      <c r="B314" s="29"/>
      <c r="C314" s="28"/>
      <c r="F314" s="28"/>
    </row>
    <row r="315" customFormat="false" ht="13" hidden="false" customHeight="true" outlineLevel="0" collapsed="false">
      <c r="B315" s="29"/>
      <c r="C315" s="28"/>
      <c r="F315" s="28"/>
    </row>
    <row r="316" customFormat="false" ht="13" hidden="false" customHeight="true" outlineLevel="0" collapsed="false">
      <c r="B316" s="29"/>
      <c r="C316" s="28"/>
      <c r="F316" s="28"/>
    </row>
    <row r="317" customFormat="false" ht="13" hidden="false" customHeight="true" outlineLevel="0" collapsed="false">
      <c r="B317" s="29"/>
      <c r="C317" s="28"/>
      <c r="F317" s="28"/>
    </row>
    <row r="318" customFormat="false" ht="13" hidden="false" customHeight="true" outlineLevel="0" collapsed="false">
      <c r="B318" s="29"/>
      <c r="C318" s="28"/>
      <c r="F318" s="28"/>
    </row>
    <row r="319" customFormat="false" ht="13" hidden="false" customHeight="true" outlineLevel="0" collapsed="false">
      <c r="B319" s="29"/>
      <c r="C319" s="28"/>
      <c r="F319" s="28"/>
    </row>
    <row r="320" customFormat="false" ht="13" hidden="false" customHeight="true" outlineLevel="0" collapsed="false">
      <c r="B320" s="29"/>
      <c r="C320" s="28"/>
    </row>
    <row r="321" customFormat="false" ht="13" hidden="false" customHeight="true" outlineLevel="0" collapsed="false">
      <c r="B321" s="29"/>
    </row>
    <row r="322" customFormat="false" ht="13" hidden="false" customHeight="true" outlineLevel="0" collapsed="false">
      <c r="B322" s="29"/>
    </row>
    <row r="323" customFormat="false" ht="13" hidden="false" customHeight="true" outlineLevel="0" collapsed="false">
      <c r="B323" s="29"/>
    </row>
    <row r="324" customFormat="false" ht="13" hidden="false" customHeight="true" outlineLevel="0" collapsed="false">
      <c r="B324" s="29"/>
    </row>
    <row r="325" customFormat="false" ht="13" hidden="false" customHeight="true" outlineLevel="0" collapsed="false">
      <c r="B325" s="29"/>
    </row>
    <row r="326" customFormat="false" ht="13" hidden="false" customHeight="true" outlineLevel="0" collapsed="false">
      <c r="B326" s="29"/>
    </row>
    <row r="327" customFormat="false" ht="13" hidden="false" customHeight="true" outlineLevel="0" collapsed="false">
      <c r="B327" s="29"/>
    </row>
    <row r="328" customFormat="false" ht="13" hidden="false" customHeight="true" outlineLevel="0" collapsed="false">
      <c r="B328" s="29"/>
    </row>
    <row r="329" customFormat="false" ht="13" hidden="false" customHeight="true" outlineLevel="0" collapsed="false">
      <c r="B329" s="29"/>
    </row>
    <row r="330" customFormat="false" ht="13" hidden="false" customHeight="true" outlineLevel="0" collapsed="false">
      <c r="B330" s="29"/>
    </row>
    <row r="331" customFormat="false" ht="13" hidden="false" customHeight="true" outlineLevel="0" collapsed="false">
      <c r="B331" s="29"/>
    </row>
    <row r="332" customFormat="false" ht="13" hidden="false" customHeight="true" outlineLevel="0" collapsed="false">
      <c r="B332" s="29"/>
    </row>
    <row r="333" customFormat="false" ht="13" hidden="false" customHeight="true" outlineLevel="0" collapsed="false">
      <c r="B333" s="29"/>
    </row>
    <row r="334" customFormat="false" ht="13" hidden="false" customHeight="true" outlineLevel="0" collapsed="false">
      <c r="B334" s="29"/>
    </row>
    <row r="335" customFormat="false" ht="13" hidden="false" customHeight="true" outlineLevel="0" collapsed="false">
      <c r="B335" s="29"/>
    </row>
    <row r="336" customFormat="false" ht="13" hidden="false" customHeight="true" outlineLevel="0" collapsed="false">
      <c r="B336" s="29"/>
    </row>
    <row r="337" customFormat="false" ht="13" hidden="false" customHeight="true" outlineLevel="0" collapsed="false">
      <c r="B337" s="29"/>
    </row>
    <row r="338" customFormat="false" ht="13" hidden="false" customHeight="true" outlineLevel="0" collapsed="false">
      <c r="B338" s="29"/>
    </row>
    <row r="339" customFormat="false" ht="13" hidden="false" customHeight="true" outlineLevel="0" collapsed="false">
      <c r="B339" s="29"/>
    </row>
    <row r="340" customFormat="false" ht="13" hidden="false" customHeight="true" outlineLevel="0" collapsed="false">
      <c r="B340" s="29"/>
    </row>
    <row r="341" customFormat="false" ht="13" hidden="false" customHeight="true" outlineLevel="0" collapsed="false">
      <c r="B341" s="29"/>
    </row>
    <row r="342" customFormat="false" ht="13" hidden="false" customHeight="true" outlineLevel="0" collapsed="false">
      <c r="B342" s="29"/>
    </row>
    <row r="343" customFormat="false" ht="13" hidden="false" customHeight="true" outlineLevel="0" collapsed="false">
      <c r="B343" s="29"/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jacksonj</dc:creator>
  <dc:description/>
  <dc:language>en-US</dc:language>
  <cp:lastModifiedBy>jacksonj</cp:lastModifiedBy>
  <cp:revision>0</cp:revision>
  <dc:subject/>
  <dc:title/>
</cp:coreProperties>
</file>